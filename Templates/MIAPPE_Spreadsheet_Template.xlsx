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708EF98F-A854-4F9C-BCC9-F878A55FB8BB}" xr6:coauthVersionLast="47" xr6:coauthVersionMax="47" xr10:uidLastSave="{00000000-0000-0000-0000-000000000000}"/>
  <bookViews>
    <workbookView xWindow="-120" yWindow="-120" windowWidth="29040" windowHeight="15720" tabRatio="891" activeTab="4"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xperimental Factor" sheetId="8" r:id="rId8"/>
    <sheet name="Experimental Factor Level" sheetId="16" r:id="rId9"/>
    <sheet name="Event" sheetId="9" r:id="rId10"/>
    <sheet name="Observation Unit" sheetId="10" r:id="rId11"/>
    <sheet name="Sample" sheetId="11" r:id="rId12"/>
    <sheet name="Observed Variable" sheetId="12" r:id="rId13"/>
    <sheet name="Environment Parameters" sheetId="15" r:id="rId14"/>
    <sheet name="Appendix1 Environment" sheetId="13" r:id="rId15"/>
    <sheet name="Appendix2 Experimental Factor" sheetId="14" r:id="rId1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16" l="1"/>
  <c r="C2" i="8"/>
</calcChain>
</file>

<file path=xl/sharedStrings.xml><?xml version="1.0" encoding="utf-8"?>
<sst xmlns="http://schemas.openxmlformats.org/spreadsheetml/2006/main" count="1015" uniqueCount="704">
  <si>
    <t>README</t>
  </si>
  <si>
    <t>MIAPPE Version 1.2</t>
  </si>
  <si>
    <t>Here are described the different sheets of this template and their respective fields.</t>
  </si>
  <si>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</si>
  <si>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</si>
  <si>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</si>
  <si>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</si>
  <si>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</si>
  <si>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</si>
  <si>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</si>
  <si>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</si>
  <si>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</si>
  <si>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</si>
  <si>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</si>
  <si>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</si>
  <si>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</si>
  <si>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</si>
  <si>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</si>
  <si>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</si>
  <si>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</si>
  <si>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</si>
  <si>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</si>
  <si>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</si>
  <si>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</si>
  <si>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</si>
  <si>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</si>
  <si>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</si>
  <si>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</si>
  <si>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</si>
  <si>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</si>
  <si>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</si>
  <si>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</si>
  <si>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</si>
  <si>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</si>
  <si>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</si>
  <si>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</si>
  <si>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</si>
  <si>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</si>
  <si>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</si>
  <si>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</si>
  <si>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</si>
  <si>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</si>
  <si>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</si>
  <si>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</si>
  <si>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</si>
  <si>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</si>
  <si>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</si>
  <si>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</si>
  <si>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</si>
  <si>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</si>
  <si>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</si>
  <si>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</si>
  <si>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</si>
  <si>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</si>
  <si>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</si>
  <si>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</si>
  <si>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</si>
  <si>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</si>
  <si>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</si>
  <si>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</si>
  <si>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</si>
  <si>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</si>
  <si>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</si>
  <si>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</si>
  <si>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</si>
  <si>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</si>
  <si>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</si>
  <si>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</si>
  <si>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</si>
  <si>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</si>
  <si>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</si>
  <si>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</si>
  <si>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</si>
  <si>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</si>
  <si>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</si>
  <si>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</si>
  <si>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</si>
  <si>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</si>
  <si>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</si>
  <si>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</si>
  <si>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</si>
  <si>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</si>
  <si>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</si>
  <si>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</si>
  <si>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</si>
  <si>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</si>
  <si>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</si>
  <si>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</si>
  <si>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</si>
  <si>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</si>
  <si>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</si>
  <si>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</si>
  <si>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</si>
  <si>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</si>
  <si>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</si>
  <si>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</si>
  <si>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</si>
  <si>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</si>
  <si>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</si>
  <si>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</si>
  <si>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</si>
  <si>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</si>
  <si>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</si>
  <si>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</si>
  <si>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</si>
  <si>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</si>
  <si>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</si>
  <si>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</si>
  <si>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</si>
  <si>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</si>
  <si>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</si>
  <si>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</si>
  <si>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</si>
  <si>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</si>
  <si>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</si>
  <si>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</si>
  <si>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</si>
  <si>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</si>
  <si>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</si>
  <si>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</si>
  <si>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</si>
  <si>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</si>
  <si>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</si>
  <si>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</si>
  <si>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</si>
  <si>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</si>
  <si>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</si>
  <si>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</si>
  <si>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</si>
  <si>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</si>
  <si>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</si>
  <si>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</si>
  <si>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</si>
  <si>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</si>
  <si>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</si>
  <si>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</si>
  <si>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</si>
  <si>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</si>
  <si>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</si>
  <si>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</si>
  <si>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</si>
  <si>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</si>
  <si>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</si>
  <si>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</si>
  <si>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</si>
  <si>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</si>
  <si>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</si>
  <si>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</si>
  <si>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</si>
  <si>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</si>
  <si>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</si>
  <si>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</si>
  <si>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</si>
  <si>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</si>
  <si>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</si>
  <si>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</si>
  <si>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</si>
  <si>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</si>
  <si>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</si>
  <si>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</si>
  <si>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</si>
  <si>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</si>
  <si>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</si>
  <si>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</si>
  <si>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</si>
  <si>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</si>
  <si>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</si>
  <si>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</si>
  <si>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</si>
  <si>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</si>
  <si>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</si>
  <si>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</si>
  <si>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</si>
  <si>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</si>
  <si>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</si>
  <si>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</si>
  <si>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</si>
  <si>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</si>
  <si>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</si>
  <si>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</si>
  <si>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</si>
  <si>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</si>
  <si>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</si>
  <si>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</si>
  <si>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</si>
  <si>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</si>
  <si>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</si>
  <si>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</si>
  <si>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</si>
  <si>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</si>
  <si>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</si>
  <si>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</si>
  <si>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</si>
  <si>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</si>
  <si>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</si>
  <si>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</si>
  <si>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</si>
  <si>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</si>
  <si>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</si>
  <si>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</si>
  <si>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</si>
  <si>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</si>
  <si>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</si>
  <si>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</si>
  <si>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</si>
  <si>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</si>
  <si>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</si>
  <si>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</si>
  <si>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</si>
  <si>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</si>
  <si>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</si>
  <si>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</si>
  <si>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</si>
  <si>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</si>
  <si>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</si>
  <si>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</si>
  <si>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</si>
  <si>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</si>
  <si>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</si>
  <si>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</si>
  <si>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</si>
  <si>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</si>
  <si>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</si>
  <si>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</si>
  <si>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</si>
  <si>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</si>
  <si>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</si>
  <si>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</si>
  <si>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</si>
  <si>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</si>
  <si>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</si>
  <si>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</si>
  <si>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</si>
  <si>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</si>
  <si>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</si>
  <si>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</si>
  <si>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</si>
  <si>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</si>
  <si>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</si>
  <si>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</si>
  <si>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</si>
  <si>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</si>
  <si>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</si>
  <si>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</si>
  <si>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</si>
  <si>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</si>
  <si>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</si>
  <si>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</si>
  <si>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</si>
  <si>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</si>
  <si>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</si>
  <si>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</si>
  <si>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</si>
  <si>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</si>
  <si>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</si>
  <si>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</si>
  <si>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</si>
  <si>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</si>
  <si>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</si>
  <si>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</si>
  <si>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</si>
  <si>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</si>
  <si>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</si>
  <si>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</si>
  <si>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</si>
  <si>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</si>
  <si>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</si>
  <si>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</si>
  <si>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</si>
  <si>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</si>
  <si>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</si>
  <si>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</si>
  <si>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</si>
  <si>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</si>
  <si>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</si>
  <si>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</si>
  <si>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</si>
  <si>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</si>
  <si>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</si>
  <si>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</si>
  <si>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</si>
  <si>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</si>
  <si>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</si>
  <si>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</si>
  <si>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</si>
  <si>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</si>
  <si>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</si>
  <si>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</si>
  <si>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</si>
  <si>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</si>
  <si>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</si>
  <si>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</si>
  <si>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</si>
  <si>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</si>
  <si>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</si>
  <si>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</si>
  <si>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</si>
  <si>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</si>
  <si>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</si>
  <si>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</si>
  <si>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</si>
  <si>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</si>
  <si>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</si>
  <si>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</si>
  <si>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</si>
  <si>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</si>
  <si>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</si>
  <si>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</si>
  <si>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</si>
  <si>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</si>
  <si>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</si>
  <si>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</si>
  <si>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</si>
  <si>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</si>
  <si>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</si>
  <si>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</si>
  <si>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</si>
  <si>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</si>
  <si>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</si>
  <si>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</si>
  <si>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</si>
  <si>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</si>
  <si>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</si>
  <si>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</si>
  <si>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</si>
  <si>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</si>
  <si>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</si>
  <si>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</si>
  <si>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</si>
  <si>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</si>
  <si>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</si>
  <si>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</si>
  <si>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</si>
  <si>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</si>
  <si>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</si>
  <si>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</si>
  <si>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</si>
  <si>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</si>
  <si>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</si>
  <si>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</si>
  <si>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</si>
  <si>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</si>
  <si>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</si>
  <si>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</si>
  <si>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</si>
  <si>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</si>
  <si>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</si>
  <si>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</si>
  <si>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</si>
  <si>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</si>
  <si>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</si>
  <si>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</si>
  <si>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</si>
  <si>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</si>
  <si>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</si>
  <si>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</si>
  <si>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</si>
  <si>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</si>
  <si>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</si>
  <si>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</si>
  <si>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</si>
  <si>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</si>
  <si>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</si>
  <si>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</si>
  <si>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</si>
  <si>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</si>
  <si>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</si>
  <si>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</si>
  <si>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</si>
  <si>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</si>
  <si>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</si>
  <si>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</si>
  <si>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</si>
  <si>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</si>
  <si>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</si>
  <si>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</si>
  <si>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</si>
  <si>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</si>
  <si>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</si>
  <si>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</si>
  <si>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</si>
  <si>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</si>
  <si>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</si>
  <si>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</si>
  <si>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</si>
  <si>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</si>
  <si>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</si>
  <si>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</si>
  <si>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</si>
  <si>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</si>
  <si>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</si>
  <si>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</si>
  <si>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</si>
  <si>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</si>
  <si>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</si>
  <si>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</si>
  <si>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</si>
  <si>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</si>
  <si>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</si>
  <si>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</si>
  <si>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</si>
  <si>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</si>
  <si>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</si>
  <si>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</si>
  <si>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</si>
  <si>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</si>
  <si>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</si>
  <si>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</si>
  <si>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</si>
  <si>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</si>
  <si>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</si>
  <si>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</si>
  <si>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</si>
  <si>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</si>
  <si>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</si>
  <si>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</si>
  <si>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</si>
  <si>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</si>
  <si>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</si>
  <si>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</si>
  <si>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</si>
  <si>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</si>
  <si>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</si>
  <si>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</si>
  <si>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</si>
  <si>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</si>
  <si>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</si>
  <si>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</si>
  <si>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</si>
  <si>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</si>
  <si>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</si>
  <si>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</si>
  <si>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</si>
  <si>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</si>
  <si>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</si>
  <si>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</si>
  <si>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</si>
  <si>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</si>
  <si>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</si>
  <si>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</si>
  <si>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</si>
  <si>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</si>
  <si>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</si>
  <si>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</si>
  <si>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</si>
  <si>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</si>
  <si>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</si>
  <si>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</si>
  <si>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</si>
  <si>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</si>
  <si>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</si>
  <si>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</si>
  <si>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</si>
  <si>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</si>
  <si>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</si>
  <si>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</si>
  <si>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</si>
  <si>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</si>
  <si>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</si>
  <si>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</si>
  <si>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</si>
  <si>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</si>
  <si>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</si>
  <si>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</si>
  <si>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</si>
  <si>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</si>
  <si>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</si>
  <si>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</si>
  <si>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</si>
  <si>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</si>
  <si>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</si>
  <si>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</si>
  <si>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</si>
  <si>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</si>
  <si>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</si>
  <si>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</si>
  <si>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</si>
  <si>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</si>
  <si>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</si>
  <si>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</si>
  <si>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</si>
  <si>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</si>
  <si>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</si>
  <si>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</si>
  <si>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</si>
  <si>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</si>
  <si>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</si>
  <si>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</si>
  <si>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</si>
  <si>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</si>
  <si>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</si>
  <si>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</si>
  <si>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</si>
  <si>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</si>
  <si>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</si>
  <si>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</si>
  <si>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</si>
  <si>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</si>
  <si>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</si>
  <si>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</si>
  <si>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</si>
  <si>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</si>
  <si>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</si>
  <si>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</si>
  <si>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</si>
  <si>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</si>
  <si>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</si>
  <si>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</si>
  <si>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</si>
  <si>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</si>
  <si>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</si>
  <si>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</si>
  <si>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</si>
  <si>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</si>
  <si>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</si>
  <si>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</si>
  <si>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</si>
  <si>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</si>
  <si>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</si>
  <si>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</si>
  <si>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</si>
  <si>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</si>
  <si>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</si>
  <si>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</si>
  <si>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</si>
  <si>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</si>
  <si>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</si>
  <si>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</si>
  <si>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</si>
  <si>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</si>
  <si>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</si>
  <si>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</si>
  <si>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</si>
  <si>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</si>
  <si>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</si>
  <si>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</si>
  <si>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</si>
  <si>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</si>
  <si>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</si>
  <si>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</si>
  <si>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</si>
  <si>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</si>
  <si>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</si>
  <si>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</si>
  <si>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</si>
  <si>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</si>
  <si>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</si>
  <si>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</si>
  <si>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</si>
  <si>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</si>
  <si>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</si>
  <si>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</si>
  <si>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</si>
  <si>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</si>
  <si>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</si>
  <si>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</si>
  <si>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</si>
  <si>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</si>
  <si>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</si>
  <si>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</si>
  <si>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</si>
  <si>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</si>
  <si>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</si>
  <si>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</si>
  <si>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</si>
  <si>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</si>
  <si>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</si>
  <si>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</si>
  <si>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</si>
  <si>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</si>
  <si>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</si>
  <si>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</si>
  <si>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</si>
  <si>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</si>
  <si>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</si>
  <si>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</si>
  <si>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</si>
  <si>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</si>
  <si>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</si>
  <si>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</si>
  <si>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</si>
  <si>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</si>
  <si>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</si>
  <si>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</si>
  <si>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</si>
  <si>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</si>
  <si>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</si>
  <si>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</si>
  <si>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</si>
  <si>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</si>
  <si>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</si>
  <si>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</si>
  <si>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</si>
  <si>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</si>
  <si>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</si>
  <si>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</si>
  <si>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</si>
  <si>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</si>
  <si>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</si>
  <si>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</si>
  <si>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</si>
  <si>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</si>
  <si>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</si>
  <si>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</si>
  <si>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</si>
  <si>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</si>
  <si>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</si>
  <si>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</si>
  <si>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</si>
  <si>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</si>
  <si>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</si>
  <si>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</si>
  <si>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</si>
  <si>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</si>
  <si>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</si>
  <si>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</si>
  <si>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</si>
  <si>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</si>
  <si>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</si>
  <si>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</si>
  <si>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</si>
  <si>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</si>
  <si>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</si>
  <si>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</si>
  <si>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</si>
  <si>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</si>
  <si>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</si>
  <si>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</si>
  <si>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</si>
  <si>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</si>
  <si>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</si>
  <si>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</si>
  <si>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</si>
  <si>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</si>
  <si>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</si>
  <si>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</si>
  <si>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</si>
  <si>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</si>
  <si>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</si>
  <si>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</si>
  <si>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</si>
  <si>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</si>
  <si>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</si>
  <si>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</si>
  <si>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</si>
  <si>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</si>
  <si>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</si>
  <si>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</si>
  <si>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</si>
  <si>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</si>
  <si>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</si>
  <si>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</si>
  <si>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</si>
  <si>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</si>
  <si>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</si>
  <si>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</si>
  <si>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</si>
  <si>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</si>
  <si>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</si>
  <si>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</si>
  <si>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</si>
  <si>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</si>
  <si>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</si>
  <si>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</si>
  <si>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</si>
  <si>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</si>
  <si>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</si>
  <si>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</si>
  <si>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</si>
  <si>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</si>
  <si>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</si>
  <si>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</si>
  <si>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</si>
  <si>
    <t>envParamAccession</t>
  </si>
  <si>
    <t>envParamDesc</t>
  </si>
  <si>
    <t>seed rate</t>
  </si>
  <si>
    <t>http://purl.obolibrary.org/obo/AGRO_00000202</t>
  </si>
  <si>
    <t>Mass of the seeds sown on a given surface area.</t>
  </si>
  <si>
    <t>humidity regimen</t>
  </si>
  <si>
    <t>http://purl.obolibrary.org/obo/EO_0007197</t>
  </si>
  <si>
    <t>expeFactorId</t>
  </si>
  <si>
    <t>expeFactorCode</t>
  </si>
  <si>
    <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</si>
  <si>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N</t>
  </si>
  <si>
    <t>expeFactorLevelId</t>
  </si>
  <si>
    <t>expeFactorLevelAccession</t>
  </si>
  <si>
    <t>expeFactorLevelDesc</t>
  </si>
  <si>
    <t>S1-N</t>
  </si>
  <si>
    <t>N1</t>
  </si>
  <si>
    <t>expeFactorLevelCode</t>
  </si>
  <si>
    <t>variableAccession</t>
  </si>
  <si>
    <t>traitEntityAccession</t>
  </si>
  <si>
    <t>traitCharacteristicAccession</t>
  </si>
  <si>
    <t>traitAccession</t>
  </si>
  <si>
    <t>methodAccession</t>
  </si>
  <si>
    <t>scaleAccession</t>
  </si>
  <si>
    <t>participant</t>
  </si>
  <si>
    <t>participantAccession</t>
  </si>
  <si>
    <t>participantRole</t>
  </si>
  <si>
    <t>participantRoleAccession</t>
  </si>
  <si>
    <t>S1-N-N1</t>
  </si>
  <si>
    <t>sourceStudyId</t>
  </si>
  <si>
    <t>sourceObsUnitId</t>
  </si>
  <si>
    <t>dataFileType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</si>
</sst>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8"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
      <sz val="11"/>
      <color rgb="FF000000"/>
      <name val="Calibri"/>
      <family val="2"/>
    </font>
    <font>
      <sz val="11"/>
      <color rgb="FF000000"/>
      <name val="Calibri"/>
      <family val="2"/>
      <charset val="1"/>
    </font>
    <font>
      <u/>
      <sz val="11"/>
      <color theme="10"/>
      <name val="Calibri"/>
      <family val="2"/>
    </font>
    <font>
      <b/>
      <sz val="10"/>
      <color theme="1"/>
      <name val="Arial"/>
      <family val="2"/>
      <charset val="1"/>
    </font>
    <font>
      <b/>
      <sz val="10"/>
      <color rgb="FF006AB9"/>
      <name val="Arial"/>
      <family val="2"/>
      <charset val="1"/>
    </font>
    <font>
      <sz val="11"/>
      <color rgb="FF006AB9"/>
      <name val="Calibri"/>
      <family val="2"/>
    </font>
    <font>
      <b/>
      <sz val="10"/>
      <color rgb="FF247A00"/>
      <name val="Arial"/>
      <family val="2"/>
      <charset val="1"/>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23" fillId="0" borderId="0" applyNumberFormat="0" applyFill="0" applyBorder="0" applyAlignment="0" applyProtection="0"/>
  </cellStyleXfs>
  <cellXfs count="67">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1" fillId="0" borderId="0" xfId="0" applyFont="1" applyAlignment="1">
      <alignment horizontal="center" vertical="center" wrapText="1"/>
    </xf>
    <xf numFmtId="0" fontId="13"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xf>
    <xf numFmtId="0" fontId="14" fillId="0" borderId="0" xfId="0" applyFont="1"/>
    <xf numFmtId="0" fontId="9" fillId="0" borderId="0" xfId="0" applyFont="1" applyAlignment="1">
      <alignment vertical="center"/>
    </xf>
    <xf numFmtId="0" fontId="3" fillId="0" borderId="0" xfId="0" applyFont="1" applyAlignment="1">
      <alignment wrapText="1"/>
    </xf>
    <xf numFmtId="0" fontId="21" fillId="0" borderId="0" xfId="0" applyFont="1"/>
    <xf numFmtId="0" fontId="22" fillId="0" borderId="0" xfId="0" applyFont="1"/>
    <xf numFmtId="0" fontId="23" fillId="0" borderId="0" xfId="1"/>
    <xf numFmtId="0" fontId="24" fillId="0" borderId="0" xfId="0" applyFont="1" applyAlignment="1">
      <alignment horizontal="center" vertical="center" wrapText="1"/>
    </xf>
    <xf numFmtId="0" fontId="25" fillId="0" borderId="0" xfId="0" applyFont="1" applyAlignment="1">
      <alignment horizontal="center" vertical="center" wrapText="1"/>
    </xf>
    <xf numFmtId="0" fontId="26" fillId="0" borderId="0" xfId="0" applyFont="1"/>
    <xf numFmtId="0" fontId="27" fillId="0" borderId="0" xfId="0" applyFont="1" applyAlignment="1">
      <alignment horizontal="center" vertical="center" wrapText="1"/>
    </xf>
  </cellXfs>
  <cellStyles count="2">
    <cellStyle name="Hyperlink" xfId="1" builtinId="8"/>
    <cellStyle name="Normal" xfId="0" builtinId="0"/>
  </cellStyles>
  <dxfs count="141">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09" dataDxfId="108">
  <autoFilter ref="A1:H2" xr:uid="{D8AF6C71-E30B-48EC-A84C-21302F8FBBD8}"/>
  <tableColumns count="8">
    <tableColumn id="1" xr3:uid="{25F01F79-3E24-44AF-B5E3-4EB20FD9A360}" name="investigationId" dataDxfId="107"/>
    <tableColumn id="2" xr3:uid="{16E59F0F-AC6D-4504-A428-E7D7AC601401}" name="investigationTitle" dataDxfId="106"/>
    <tableColumn id="3" xr3:uid="{4668A34F-CEFF-43A7-84AA-B014E3A90F47}" name="investigationDescription" dataDxfId="105"/>
    <tableColumn id="4" xr3:uid="{403353FA-EBA5-418F-8273-81472CDF29D4}" name="submissionDate" dataDxfId="104"/>
    <tableColumn id="5" xr3:uid="{18E43DB3-511F-4E0E-B357-B4A6E40F0660}" name="publicReleaseDate" dataDxfId="103"/>
    <tableColumn id="6" xr3:uid="{91C01C8C-69AF-4B74-BA16-1C962EDAF32D}" name="license" dataDxfId="102"/>
    <tableColumn id="7" xr3:uid="{E94BB99A-781A-4442-AD9C-7E4D99028DC9}" name="miappeVersion" dataDxfId="101"/>
    <tableColumn id="8" xr3:uid="{91B9E445-65BD-412A-95C1-EA371F946FCA}" name="associatedPublication" dataDxfId="100"/>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T3" totalsRowShown="0" dataDxfId="99">
  <autoFilter ref="A1:T3" xr:uid="{5E227E83-2F05-4244-925F-48F9556390CD}"/>
  <tableColumns count="20">
    <tableColumn id="1" xr3:uid="{EE95CF2F-813E-4690-97C4-79C304F65B9C}" name="studyId" dataDxfId="98"/>
    <tableColumn id="20" xr3:uid="{B540CC62-E9C4-45D9-ADBE-8B9EAB4D0769}" name="sourceStudyId" dataDxfId="97"/>
    <tableColumn id="2" xr3:uid="{799EAD4E-60F7-47E4-B3B2-8BD859F0673D}" name="studyTitle" dataDxfId="96"/>
    <tableColumn id="3" xr3:uid="{A2063A94-CC8E-425D-A71D-C0EDE3148180}" name="studyDescription" dataDxfId="95"/>
    <tableColumn id="4" xr3:uid="{4DCF1664-298B-4E1C-8B80-483A31FB0BDB}" name="studyStartDate" dataDxfId="94"/>
    <tableColumn id="5" xr3:uid="{E557DB42-3379-4598-AAF9-21798BC64DAB}" name="studyEndDate" dataDxfId="93"/>
    <tableColumn id="6" xr3:uid="{1EEA2EC5-CA19-40B4-9DFB-2DE9A9E916EA}" name="contactInst" dataDxfId="92"/>
    <tableColumn id="7" xr3:uid="{E0A5C222-CFE5-4E9C-8E84-0892043DBD21}" name="locationCountry" dataDxfId="91"/>
    <tableColumn id="8" xr3:uid="{7B635D2A-56C5-48B0-A880-E33ADE030AB1}" name="siteName" dataDxfId="90"/>
    <tableColumn id="9" xr3:uid="{2F8227C3-F11C-4DAA-93EB-CEBD94FF81A9}" name="locationLatitude" dataDxfId="89"/>
    <tableColumn id="10" xr3:uid="{6A14EB46-0BF4-45C6-9048-E1B7D13E633A}" name="locationLongitude" dataDxfId="88"/>
    <tableColumn id="11" xr3:uid="{9954429A-AA41-408C-BB04-D73EDB89D73F}" name="locationAltitude" dataDxfId="87"/>
    <tableColumn id="12" xr3:uid="{39FEDA43-D994-4742-B319-3DFED43EF79B}" name="expeDesignDesc" dataDxfId="86"/>
    <tableColumn id="13" xr3:uid="{C9F6A881-1CF1-4AD9-8305-B7E26FD78E3B}" name="expeDesignType" dataDxfId="85"/>
    <tableColumn id="14" xr3:uid="{253A58C7-1A2A-4D25-9622-3AE33F89A685}" name="obsUnitLevelHierarchy" dataDxfId="84"/>
    <tableColumn id="15" xr3:uid="{10DCEB5F-0BF5-4476-83E5-B973A516A8CD}" name="obsUnitDesc" dataDxfId="83"/>
    <tableColumn id="16" xr3:uid="{0D36E7FE-2245-4B79-9A59-4C64590731A5}" name="growthFacilityDesc" dataDxfId="82"/>
    <tableColumn id="17" xr3:uid="{599307E8-6E88-4D3F-BF48-ADF70D109D18}" name="growthFacilityType" dataDxfId="81"/>
    <tableColumn id="18" xr3:uid="{63403E81-283C-4E2E-984D-9EFC0886E90C}" name="culturalPractice" dataDxfId="80"/>
    <tableColumn id="19" xr3:uid="{E74D4B3A-67BC-482F-8485-FC7D9088A8B6}" name="expeDesignMap" dataDxfId="79"/>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78" dataDxfId="77">
  <autoFilter ref="A1:F2" xr:uid="{2FBCF0B0-7AB0-436F-9431-67BEDDE78EB3}"/>
  <tableColumns count="6">
    <tableColumn id="1" xr3:uid="{49A703DB-336A-4F60-9DA6-8249763A2765}" name="studyId" dataDxfId="76"/>
    <tableColumn id="2" xr3:uid="{65039BF4-A122-4B88-8EB2-FD3ED61B8912}" name="personName" dataDxfId="75"/>
    <tableColumn id="3" xr3:uid="{4B7588A4-B756-4E28-B8A4-AFB8D62031B4}" name="personEmail" dataDxfId="74"/>
    <tableColumn id="4" xr3:uid="{639FC837-B543-4A62-B2C2-3EE761EF5EF7}" name="personId" dataDxfId="73"/>
    <tableColumn id="5" xr3:uid="{593F31A8-CDAA-47CF-89F3-2902C6B8D3C8}" name="personRole" dataDxfId="72"/>
    <tableColumn id="6" xr3:uid="{5FCF059F-31D5-4218-8D81-DC379C42EAF4}" name="personAffiliation" dataDxfId="71"/>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E2" insertRow="1" totalsRowShown="0" headerRowDxfId="70" dataDxfId="69">
  <autoFilter ref="A1:E2" xr:uid="{6A3BD8AE-973B-42AE-B791-86C37DE5452E}"/>
  <tableColumns count="5">
    <tableColumn id="1" xr3:uid="{AD6A7B95-2E4C-4264-86B4-35031C8932E3}" name="studyId" dataDxfId="68"/>
    <tableColumn id="2" xr3:uid="{A5C92CF7-B78F-4910-A250-8A16D6E7889C}" name="dataFileLink" dataDxfId="67"/>
    <tableColumn id="3" xr3:uid="{620AC217-74DA-496A-9696-16EF7D98E86C}" name="dataFileDesc" dataDxfId="66"/>
    <tableColumn id="5" xr3:uid="{AFC6BCDB-79B5-4940-A3BB-0EEC9F1306A5}" name="dataFileType" dataDxfId="0"/>
    <tableColumn id="4" xr3:uid="{79F128D7-FDA0-4F62-B04B-DAEE7E495850}" name="dataFileVersion" dataDxfId="65"/>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64" dataDxfId="63">
  <autoFilter ref="A1:X2" xr:uid="{CD8645E7-2CD1-4841-84CC-19654A603435}"/>
  <tableColumns count="24">
    <tableColumn id="1" xr3:uid="{71E6992E-3AF7-4C8A-9C1E-930C105005E2}" name="studyId" dataDxfId="62"/>
    <tableColumn id="2" xr3:uid="{BA8B45A2-9F79-4EE6-A38F-EF56D5CE4A1A}" name="biologicalMaterialId" dataDxfId="61"/>
    <tableColumn id="3" xr3:uid="{546FEA19-FA9D-47D3-BF6E-57CDA029B0A3}" name="biologicalMaterialExtId" dataDxfId="60"/>
    <tableColumn id="4" xr3:uid="{0DD21880-A5E2-4076-AA9F-554DE7C7E0D1}" name="organism" dataDxfId="59"/>
    <tableColumn id="5" xr3:uid="{9760C8F1-7162-4A84-80C2-FBEC779AFAD0}" name="genus" dataDxfId="58"/>
    <tableColumn id="6" xr3:uid="{D7026284-DE40-4B04-A583-983A0B5FB5BB}" name="species" dataDxfId="57"/>
    <tableColumn id="7" xr3:uid="{22046373-BBD5-4919-AC4C-AA8E91D97026}" name="infraspecificName" dataDxfId="56"/>
    <tableColumn id="8" xr3:uid="{579B0DCA-BD9C-4E7B-BB3B-3FB19A4CBCA3}" name="biologicalMaterialLatitude" dataDxfId="55"/>
    <tableColumn id="9" xr3:uid="{A7E064AC-CDCF-4898-BEF3-07CF88887A4E}" name="biologicalMaterialLongitude" dataDxfId="54"/>
    <tableColumn id="10" xr3:uid="{D55DD07C-0BE6-4D7D-80E1-B7195245711A}" name="biologicalMaterialAltitude" dataDxfId="53"/>
    <tableColumn id="11" xr3:uid="{CA82A017-8E46-417C-9A1F-D7010C7B489F}" name="biologicalMaterialCoordUncertainty" dataDxfId="52"/>
    <tableColumn id="12" xr3:uid="{16F6B082-1241-4094-AFDC-6E6F5B63F502}" name="biologicalMaterialPreprocessing" dataDxfId="51"/>
    <tableColumn id="13" xr3:uid="{16F5564F-9F1B-4CEB-8DEC-4F46E89C2EB5}" name="materialSourceId" dataDxfId="50"/>
    <tableColumn id="14" xr3:uid="{0AB5DA63-1709-41B8-9FAD-5B1A8A45E649}" name="materialSourceDoi" dataDxfId="49"/>
    <tableColumn id="15" xr3:uid="{26116E4A-CA0A-4D6C-A863-AEA24B0E0C24}" name="materialSourceAccNumber" dataDxfId="48"/>
    <tableColumn id="16" xr3:uid="{0C2E647E-5127-470F-859E-ED727EEFA3B9}" name="materialSourceAccName" dataDxfId="47"/>
    <tableColumn id="17" xr3:uid="{B6097563-29EF-4C10-9096-04A2C164B15A}" name="materialSourceInstCode" dataDxfId="46"/>
    <tableColumn id="18" xr3:uid="{BEA38246-EAA3-4450-B29F-D608607C2513}" name="materialSourceInstName" dataDxfId="45"/>
    <tableColumn id="19" xr3:uid="{E8257013-CD5D-4534-9CD0-08D9EBBE7EF0}" name="materialSourceOtherIds" dataDxfId="44"/>
    <tableColumn id="20" xr3:uid="{BE0E6D94-2ED0-4863-9DE5-9AA6BD4643D6}" name="materialSourceLatitude" dataDxfId="43"/>
    <tableColumn id="21" xr3:uid="{BD849876-C99C-4475-87D4-DEECBE575F67}" name="materialSourceLongitude" dataDxfId="42"/>
    <tableColumn id="22" xr3:uid="{0C871681-B897-43DD-A6BE-F03CAA6574F6}" name="materialSourceAltitude" dataDxfId="41"/>
    <tableColumn id="23" xr3:uid="{ECC67BD8-3E1F-4A97-95B0-A9CCE07839CA}" name="materialSourceCoordUncertainty" dataDxfId="40"/>
    <tableColumn id="24" xr3:uid="{C66E78D2-DB97-4D59-8D52-ECE79ED6BB86}" name="materialSourceDesc" dataDxfId="39"/>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38">
  <autoFilter ref="A1:C2" xr:uid="{1C4F81EC-6E53-43AA-B6CF-9BA631481909}"/>
  <tableColumns count="3">
    <tableColumn id="1" xr3:uid="{08C0BD82-D970-44E6-99E3-B4872FECEFE5}" name="studyId" dataDxfId="37"/>
    <tableColumn id="2" xr3:uid="{F9DC7CC5-88B3-4A9A-B462-9FB971836B81}" name="envParam" dataDxfId="36"/>
    <tableColumn id="3" xr3:uid="{65E72A00-3C03-4A17-922C-EE6A4A3D8D80}" name="envParamValue" dataDxfId="35"/>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F2" totalsRowShown="0" headerRowDxfId="34">
  <autoFilter ref="A1:F2" xr:uid="{9DB56221-E63F-405B-979B-FD6B29D3B9AE}"/>
  <tableColumns count="6">
    <tableColumn id="1" xr3:uid="{8033D24B-35FE-4753-9513-1BA7E8E27122}" name="studyId" dataDxfId="33"/>
    <tableColumn id="6" xr3:uid="{8AF0BF35-BAC4-4E9A-A1CC-B83DC7399496}" name="expeFactorCode" dataDxfId="32"/>
    <tableColumn id="5" xr3:uid="{67BFB12E-F4AF-4C45-B7B6-4791A656C30A}" name="expeFactorId" dataDxfId="31">
      <calculatedColumnFormula>CONCATENATE(experimentalFactor[studyId],"-",experimentalFactor[expeFactorCode])</calculatedColumnFormula>
    </tableColumn>
    <tableColumn id="2" xr3:uid="{0E59C639-24C1-40B6-85BF-F9DA37B289AF}" name="expeFactorType" dataDxfId="30"/>
    <tableColumn id="3" xr3:uid="{45088180-C6C0-4340-B527-76C01394AC82}" name="expeFactorDesc" dataDxfId="29"/>
    <tableColumn id="4" xr3:uid="{79953CF7-2E96-4871-AAED-69F19C77A395}" name="expeFactorValues" dataDxfId="28"/>
  </tableColumns>
  <tableStyleInfo name="Miappe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9BF05A2-1ABB-4D33-BC15-C5E51AF45999}" name="experimentalFactorLevel" displayName="experimentalFactorLevel" ref="A1:E2" totalsRowShown="0">
  <autoFilter ref="A1:E2" xr:uid="{C9BF05A2-1ABB-4D33-BC15-C5E51AF45999}"/>
  <tableColumns count="5">
    <tableColumn id="1" xr3:uid="{87ACD6F9-EF3B-4A5E-B872-92E772B18A0D}" name="expeFactorId"/>
    <tableColumn id="2" xr3:uid="{684FB454-4CC5-45F7-9C3C-B04475EADF64}" name="expeFactorLevelId">
      <calculatedColumnFormula>CONCATENATE(experimentalFactorLevel[expeFactorId],"-",experimentalFactorLevel[expeFactorLevelCode])</calculatedColumnFormula>
    </tableColumn>
    <tableColumn id="3" xr3:uid="{1C4A38F3-CA10-4B27-8557-5CEB94A37762}" name="expeFactorLevelCode"/>
    <tableColumn id="4" xr3:uid="{8AD64F88-1111-477C-8058-D8790CFA7C77}" name="expeFactorLevelAccession"/>
    <tableColumn id="5" xr3:uid="{925EFD52-D576-4B2F-BE3D-7FEE62D537D8}" name="expeFactorLevelDesc"/>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G2" totalsRowShown="0" dataDxfId="27">
  <autoFilter ref="A1:G2" xr:uid="{E52243D7-2662-4692-B203-793CCE48631D}"/>
  <tableColumns count="7">
    <tableColumn id="1" xr3:uid="{DB25986C-BD6F-40F9-A226-C9A11BBDF460}" name="studyId" dataDxfId="26"/>
    <tableColumn id="2" xr3:uid="{6EE72788-DEAD-4FC0-9383-C6415EC5E8A5}" name="obsUnitId" dataDxfId="25"/>
    <tableColumn id="7" xr3:uid="{59210F7A-BDE1-4221-BA01-D09327E85900}" name="expeFactorLevelId" dataDxfId="2"/>
    <tableColumn id="3" xr3:uid="{0DDCD5FF-AC45-4794-9B28-BBD982C1FB84}" name="eventType" dataDxfId="24"/>
    <tableColumn id="4" xr3:uid="{F8E58477-EC1C-4F97-B99C-B939249E19E9}" name="eventAccNumber" dataDxfId="23"/>
    <tableColumn id="5" xr3:uid="{E826B0E9-8F41-4E58-9D61-690A1F38823F}" name="eventDesc" dataDxfId="22"/>
    <tableColumn id="6" xr3:uid="{6ABA4348-63AB-41DB-837E-5BE18C09264B}" name="eventDate" dataDxfId="21"/>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H2" insertRow="1" totalsRowShown="0" dataDxfId="20">
  <autoFilter ref="A1:H2" xr:uid="{9A4F6851-A82A-4719-850B-9015CB0F68F5}"/>
  <tableColumns count="8">
    <tableColumn id="1" xr3:uid="{67885524-1B5C-4054-BDDA-7439D87C65A3}" name="studyId" dataDxfId="19"/>
    <tableColumn id="2" xr3:uid="{BD42E68A-B0EE-4F6E-9323-7BF9B4395F28}" name="biologicalMaterialId" dataDxfId="18"/>
    <tableColumn id="3" xr3:uid="{ADEBC7D5-74AA-4299-BAA7-2B546D4FD4E2}" name="obsUnitId" dataDxfId="17"/>
    <tableColumn id="8" xr3:uid="{F4D9572F-C227-480C-812D-9943C387240C}" name="sourceObsUnitId" dataDxfId="1"/>
    <tableColumn id="4" xr3:uid="{9981E5B4-9802-41A5-B134-7A7924A4B125}" name="obsUnitType" dataDxfId="16"/>
    <tableColumn id="5" xr3:uid="{CB30098B-ECC6-437C-9C2E-46BB51031C94}" name="externalId" dataDxfId="15"/>
    <tableColumn id="6" xr3:uid="{B9F1BB11-5258-49AF-A8C5-372071AA9FF3}" name="spatialDistribution" dataDxfId="14"/>
    <tableColumn id="7" xr3:uid="{7E1C2129-988B-4857-85FE-0F1EA951EBC7}" name="obsUnitFactorValue" dataDxfId="13"/>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12" dataDxfId="11">
  <autoFilter ref="A1:G2" xr:uid="{6D61A835-4FD1-495E-A537-D0167D8A5442}"/>
  <tableColumns count="7">
    <tableColumn id="1" xr3:uid="{92A1E618-2F85-46E4-B7EF-76ED045C215B}" name="obsUnitId" dataDxfId="10"/>
    <tableColumn id="2" xr3:uid="{A0DFEC37-340B-4DF8-907B-A9769602FD28}" name="sampleId" dataDxfId="9"/>
    <tableColumn id="3" xr3:uid="{D455AF29-BE41-4DDA-A9B2-A46F4EEA6767}" name="developmentStage" dataDxfId="8"/>
    <tableColumn id="4" xr3:uid="{C24109D3-E8A6-4810-A0A6-ACD6730F0D08}" name="anatomicalEntity" dataDxfId="7"/>
    <tableColumn id="5" xr3:uid="{5C630D57-B424-4325-BC0C-BEEBEDC89DBB}" name="sampleDesc" dataDxfId="6"/>
    <tableColumn id="6" xr3:uid="{CDEC6C64-2387-4FCF-9A2C-63F54020D0A0}" name="collectionDate" dataDxfId="5"/>
    <tableColumn id="7" xr3:uid="{FFB2A4F7-3C7D-4BC5-AD9E-C14C20349305}" name="externalId" dataDxfId="4"/>
  </tableColumns>
  <tableStyleInfo name="Miappe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U2" insertRow="1" totalsRowShown="0" dataDxfId="131">
  <autoFilter ref="A1:U2" xr:uid="{0EDFDBC4-F33A-4222-BE29-11AF54DCA710}"/>
  <tableColumns count="21">
    <tableColumn id="1" xr3:uid="{52AF96AA-DC3C-4AE1-9B73-089CA835EB6D}" name="studyId" dataDxfId="130"/>
    <tableColumn id="2" xr3:uid="{6323306B-E13C-4F7B-86EE-23DC8D1F262D}" name="variableId" dataDxfId="129"/>
    <tableColumn id="3" xr3:uid="{DAD62536-0510-4DD9-9444-8EBA12087E02}" name="variableName" dataDxfId="128"/>
    <tableColumn id="4" xr3:uid="{FD87E241-A1C6-4BF6-81FC-38FE779F31D6}" name="variableAccession" dataDxfId="127"/>
    <tableColumn id="5" xr3:uid="{ED4E4010-EAC9-4FB0-9577-906D949DB6BF}" name="traitName" dataDxfId="126"/>
    <tableColumn id="6" xr3:uid="{DA4A34B4-67B2-4ABC-9FA6-0EBFB54B964D}" name="traitEntity" dataDxfId="125"/>
    <tableColumn id="7" xr3:uid="{9A164C4C-E33C-4F52-9CA0-56F6EC009A34}" name="traitEntityAccession" dataDxfId="124"/>
    <tableColumn id="8" xr3:uid="{FB4A5310-40B1-46EF-B98F-2CA2AC87CE59}" name="traitCharacteristic" dataDxfId="123"/>
    <tableColumn id="9" xr3:uid="{59E17836-2938-469A-A999-F34CBAA00B67}" name="traitCharacteristicAccession" dataDxfId="122"/>
    <tableColumn id="10" xr3:uid="{7F9E3661-278E-45F4-A718-37C7F238C752}" name="traitAccession" dataDxfId="121"/>
    <tableColumn id="11" xr3:uid="{F49AEE2B-9512-4C72-A2BF-C945026C81A0}" name="methodName" dataDxfId="120"/>
    <tableColumn id="12" xr3:uid="{8099D3A2-60AE-4466-B82A-EEC20FC58B7B}" name="methodAccession" dataDxfId="119"/>
    <tableColumn id="13" xr3:uid="{6291B064-7EBD-42CC-B89D-568748A16FA5}" name="methodDesc" dataDxfId="118"/>
    <tableColumn id="14" xr3:uid="{A01FDF2D-88FC-405F-BF1E-14B20EABB5B5}" name="methodRef" dataDxfId="117"/>
    <tableColumn id="15" xr3:uid="{A15211C8-293C-4DE6-87B9-CF94F470AE75}" name="scaleName" dataDxfId="116"/>
    <tableColumn id="16" xr3:uid="{648CBC04-7A14-4F7F-A7AF-D119B1714850}" name="scaleAccession" dataDxfId="115"/>
    <tableColumn id="19" xr3:uid="{EE91A801-8376-4314-ADFB-6E32C3AE8AE4}" name="timeScale" dataDxfId="114"/>
    <tableColumn id="22" xr3:uid="{A52D8785-E3B2-4548-AA8A-0964285F0DB9}" name="participant" dataDxfId="113"/>
    <tableColumn id="21" xr3:uid="{CA21FA4C-5A61-4852-9BA7-6FDDF22D4ADC}" name="participantAccession" dataDxfId="112"/>
    <tableColumn id="20" xr3:uid="{3DF54E16-A553-4C7E-9762-C6517F5AD994}" name="participantRole" dataDxfId="111"/>
    <tableColumn id="17" xr3:uid="{AD46E78F-5D35-4B20-9822-0B2F83C5680D}" name="participantRoleAccession" dataDxfId="110"/>
  </tableColumns>
  <tableStyleInfo name="Miappe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B1F2FD5-EB26-42FD-AA78-B5395A6174BE}" name="environmentParameters" displayName="environmentParameters" ref="A1:C3" totalsRowShown="0" headerRowDxfId="3">
  <autoFilter ref="A1:C3" xr:uid="{AB1F2FD5-EB26-42FD-AA78-B5395A6174BE}"/>
  <tableColumns count="3">
    <tableColumn id="1" xr3:uid="{5E761B2A-3F92-4181-AF5D-F423F0564A09}" name="envParam"/>
    <tableColumn id="2" xr3:uid="{859D023A-B6BE-4E62-A854-739263E5E0C9}" name="envParamAccession" dataCellStyle="Hyperlink"/>
    <tableColumn id="3" xr3:uid="{86E20B70-FB31-402D-8CAA-272E40CA937F}" name="envParamDesc"/>
  </tableColumns>
  <tableStyleInfo name="TableStyleLight1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purl.obolibrary.org/obo/AGRO_00000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zoomScaleNormal="100" workbookViewId="0">
      <selection activeCell="A3" sqref="A3"/>
    </sheetView>
  </sheetViews>
  <sheetFormatPr defaultColWidth="14.5703125" defaultRowHeight="15" x14ac:dyDescent="0.25"/>
  <cols>
    <col min="1" max="1" width="67.140625" customWidth="1"/>
    <col min="2" max="20" width="36.42578125" customWidth="1"/>
    <col min="16373" max="16384" width="11.42578125" customWidth="1"/>
  </cols>
  <sheetData>
    <row r="1" spans="1:20 16374:16384" s="5" customFormat="1" ht="26.25" x14ac:dyDescent="0.4">
      <c r="A1" s="1" t="s">
        <v>0</v>
      </c>
      <c r="B1" s="2" t="s">
        <v>1</v>
      </c>
      <c r="C1" s="3"/>
      <c r="D1" s="3"/>
      <c r="E1" s="3"/>
      <c r="F1" s="3"/>
      <c r="G1" s="3"/>
      <c r="H1" s="3"/>
      <c r="I1" s="3"/>
      <c r="J1" s="3"/>
      <c r="K1" s="3"/>
      <c r="L1" s="3"/>
      <c r="M1" s="4"/>
      <c r="N1" s="4"/>
      <c r="O1" s="4"/>
      <c r="P1" s="4"/>
      <c r="Q1" s="4"/>
      <c r="R1" s="4"/>
      <c r="S1" s="4"/>
      <c r="T1" s="4"/>
    </row>
    <row r="2" spans="1:20 16374:16384" s="9" customFormat="1" ht="15.75" x14ac:dyDescent="0.25">
      <c r="A2" s="6" t="s">
        <v>2</v>
      </c>
      <c r="B2" s="7"/>
      <c r="C2" s="7"/>
      <c r="D2" s="7"/>
      <c r="E2" s="7"/>
      <c r="F2" s="7"/>
      <c r="G2" s="7"/>
      <c r="H2" s="7"/>
      <c r="I2" s="7"/>
      <c r="J2" s="7"/>
      <c r="K2" s="7"/>
      <c r="L2" s="7"/>
      <c r="M2" s="8"/>
      <c r="N2" s="8"/>
      <c r="O2" s="8"/>
      <c r="P2" s="8"/>
      <c r="Q2" s="8"/>
      <c r="R2" s="8"/>
      <c r="S2" s="8"/>
      <c r="T2" s="8"/>
    </row>
    <row r="3" spans="1:20 16374:16384" s="9" customFormat="1" ht="98.45" customHeight="1" x14ac:dyDescent="0.3">
      <c r="A3" s="10" t="s">
        <v>682</v>
      </c>
      <c r="B3" s="7"/>
      <c r="C3" s="7"/>
      <c r="D3" s="7"/>
      <c r="E3" s="7"/>
      <c r="F3" s="7"/>
      <c r="G3" s="7"/>
      <c r="H3" s="7"/>
      <c r="I3" s="7"/>
      <c r="J3" s="7"/>
      <c r="K3" s="7"/>
      <c r="L3" s="7"/>
      <c r="M3" s="8"/>
      <c r="N3" s="8"/>
      <c r="O3" s="8"/>
      <c r="P3" s="8"/>
      <c r="Q3" s="8"/>
      <c r="R3" s="8"/>
      <c r="S3" s="8"/>
      <c r="T3" s="8"/>
    </row>
    <row r="4" spans="1:20 16374:16384" ht="56.65" customHeight="1" x14ac:dyDescent="0.3">
      <c r="A4" s="11" t="s">
        <v>3</v>
      </c>
      <c r="B4" s="12"/>
      <c r="C4" s="12"/>
      <c r="D4" s="12"/>
      <c r="E4" s="12"/>
      <c r="F4" s="12"/>
      <c r="G4" s="12"/>
      <c r="H4" s="12"/>
      <c r="I4" s="12"/>
      <c r="J4" s="12"/>
      <c r="K4" s="12"/>
      <c r="L4" s="12"/>
      <c r="M4" s="7"/>
      <c r="N4" s="7"/>
      <c r="O4" s="7"/>
      <c r="P4" s="7"/>
      <c r="Q4" s="7"/>
      <c r="R4" s="7"/>
      <c r="S4" s="7"/>
      <c r="T4" s="7"/>
    </row>
    <row r="5" spans="1:20 16374:16384" ht="63.75" x14ac:dyDescent="0.25">
      <c r="A5" s="13" t="s">
        <v>4</v>
      </c>
      <c r="B5" s="12"/>
      <c r="C5" s="12"/>
      <c r="D5" s="12"/>
      <c r="E5" s="12"/>
      <c r="F5" s="12"/>
      <c r="G5" s="12"/>
      <c r="H5" s="12"/>
      <c r="I5" s="12"/>
      <c r="J5" s="12"/>
      <c r="K5" s="12"/>
      <c r="L5" s="12"/>
      <c r="M5" s="7"/>
      <c r="N5" s="7"/>
      <c r="O5" s="7"/>
      <c r="P5" s="7"/>
      <c r="Q5" s="7"/>
      <c r="R5" s="7"/>
      <c r="S5" s="7"/>
      <c r="T5" s="7"/>
    </row>
    <row r="6" spans="1:20 16374:16384" ht="28.35" customHeight="1" x14ac:dyDescent="0.25">
      <c r="A6" s="14" t="s">
        <v>5</v>
      </c>
      <c r="B6" s="15" t="s">
        <v>6</v>
      </c>
      <c r="C6" s="16" t="s">
        <v>7</v>
      </c>
      <c r="D6" s="15" t="s">
        <v>8</v>
      </c>
      <c r="E6" s="17" t="s">
        <v>9</v>
      </c>
      <c r="F6" s="17" t="s">
        <v>10</v>
      </c>
      <c r="G6" s="15" t="s">
        <v>11</v>
      </c>
      <c r="H6" s="16" t="s">
        <v>12</v>
      </c>
      <c r="I6" s="17" t="s">
        <v>13</v>
      </c>
      <c r="J6" s="18"/>
      <c r="K6" s="18"/>
      <c r="L6" s="18"/>
      <c r="M6" s="18"/>
      <c r="N6" s="7"/>
      <c r="O6" s="7"/>
      <c r="P6" s="7"/>
      <c r="Q6" s="7"/>
      <c r="R6" s="7"/>
      <c r="S6" s="7"/>
      <c r="T6" s="7"/>
    </row>
    <row r="7" spans="1:20 16374:16384" ht="28.35" customHeight="1" x14ac:dyDescent="0.25">
      <c r="A7" s="14" t="s">
        <v>14</v>
      </c>
      <c r="B7" s="15" t="s">
        <v>15</v>
      </c>
      <c r="C7" s="16" t="s">
        <v>16</v>
      </c>
      <c r="D7" s="15" t="s">
        <v>17</v>
      </c>
      <c r="E7" s="17" t="s">
        <v>18</v>
      </c>
      <c r="F7" s="17" t="s">
        <v>19</v>
      </c>
      <c r="G7" s="15" t="s">
        <v>20</v>
      </c>
      <c r="H7" s="16" t="s">
        <v>21</v>
      </c>
      <c r="I7" s="17" t="s">
        <v>22</v>
      </c>
      <c r="J7" s="18"/>
      <c r="K7" s="18"/>
      <c r="L7" s="18"/>
      <c r="M7" s="18"/>
      <c r="N7" s="7"/>
      <c r="O7" s="7"/>
      <c r="P7" s="7"/>
      <c r="Q7" s="7"/>
      <c r="R7" s="7"/>
      <c r="S7" s="7"/>
      <c r="T7" s="7"/>
    </row>
    <row r="8" spans="1:20 16374:16384" s="22" customFormat="1" ht="63.75" x14ac:dyDescent="0.25">
      <c r="A8" s="17" t="s">
        <v>23</v>
      </c>
      <c r="B8" s="19" t="s">
        <v>24</v>
      </c>
      <c r="C8" s="19" t="s">
        <v>25</v>
      </c>
      <c r="D8" s="19" t="s">
        <v>26</v>
      </c>
      <c r="E8" s="19" t="s">
        <v>27</v>
      </c>
      <c r="F8" s="19" t="s">
        <v>28</v>
      </c>
      <c r="G8" s="19" t="s">
        <v>29</v>
      </c>
      <c r="H8" s="19" t="s">
        <v>30</v>
      </c>
      <c r="I8" s="19" t="s">
        <v>31</v>
      </c>
      <c r="J8" s="20"/>
      <c r="K8" s="20"/>
      <c r="L8" s="20"/>
      <c r="M8" s="20"/>
      <c r="N8" s="21"/>
      <c r="O8" s="21"/>
      <c r="P8" s="21"/>
      <c r="Q8" s="21"/>
      <c r="R8" s="21"/>
      <c r="S8" s="21"/>
      <c r="T8" s="21"/>
    </row>
    <row r="9" spans="1:20 16374:16384" s="22" customFormat="1" ht="114.75" x14ac:dyDescent="0.25">
      <c r="A9" s="17" t="s">
        <v>32</v>
      </c>
      <c r="B9" s="19" t="s">
        <v>33</v>
      </c>
      <c r="C9" s="19" t="s">
        <v>34</v>
      </c>
      <c r="D9" s="19" t="s">
        <v>35</v>
      </c>
      <c r="E9" s="23">
        <v>41260</v>
      </c>
      <c r="F9" s="23">
        <v>41330</v>
      </c>
      <c r="G9" s="19" t="s">
        <v>36</v>
      </c>
      <c r="H9" s="19">
        <v>1.1000000000000001</v>
      </c>
      <c r="I9" s="19" t="s">
        <v>37</v>
      </c>
      <c r="J9" s="20"/>
      <c r="K9" s="20"/>
      <c r="L9" s="20"/>
      <c r="M9" s="20"/>
      <c r="N9" s="21"/>
      <c r="O9" s="21"/>
      <c r="P9" s="21"/>
      <c r="Q9" s="21"/>
      <c r="R9" s="21"/>
      <c r="S9" s="21"/>
      <c r="T9" s="21"/>
    </row>
    <row r="10" spans="1:20 16374:16384" s="22" customFormat="1" x14ac:dyDescent="0.25">
      <c r="A10" s="17" t="s">
        <v>38</v>
      </c>
      <c r="B10" s="19" t="s">
        <v>39</v>
      </c>
      <c r="C10" s="19" t="s">
        <v>40</v>
      </c>
      <c r="D10" s="19" t="s">
        <v>41</v>
      </c>
      <c r="E10" s="19" t="s">
        <v>42</v>
      </c>
      <c r="F10" s="19" t="s">
        <v>42</v>
      </c>
      <c r="G10" s="19" t="s">
        <v>39</v>
      </c>
      <c r="H10" s="19" t="s">
        <v>43</v>
      </c>
      <c r="I10" s="19" t="s">
        <v>44</v>
      </c>
      <c r="J10" s="20"/>
      <c r="K10" s="20"/>
      <c r="L10" s="20"/>
      <c r="M10" s="20"/>
      <c r="N10" s="21"/>
      <c r="O10" s="21"/>
      <c r="P10" s="21"/>
      <c r="Q10" s="21"/>
      <c r="R10" s="21"/>
      <c r="S10" s="21"/>
      <c r="T10" s="21"/>
    </row>
    <row r="11" spans="1:20 16374:16384" ht="56.65" customHeight="1" x14ac:dyDescent="0.3">
      <c r="A11" s="11" t="s">
        <v>45</v>
      </c>
      <c r="B11" s="12"/>
      <c r="C11" s="12"/>
      <c r="D11" s="12"/>
      <c r="E11" s="12"/>
      <c r="F11" s="12"/>
      <c r="G11" s="12"/>
      <c r="H11" s="12"/>
      <c r="I11" s="12"/>
      <c r="J11" s="12"/>
      <c r="K11" s="12"/>
      <c r="L11" s="12"/>
      <c r="M11" s="7"/>
      <c r="N11" s="7"/>
      <c r="O11" s="7"/>
      <c r="P11" s="7"/>
      <c r="Q11" s="7"/>
      <c r="R11" s="7"/>
      <c r="S11" s="7"/>
      <c r="T11" s="7"/>
    </row>
    <row r="12" spans="1:20 16374:16384" ht="38.25" x14ac:dyDescent="0.25">
      <c r="A12" s="13" t="s">
        <v>46</v>
      </c>
      <c r="B12" s="12"/>
      <c r="C12" s="12"/>
      <c r="D12" s="12"/>
      <c r="E12" s="12"/>
      <c r="F12" s="12"/>
      <c r="G12" s="12"/>
      <c r="H12" s="12"/>
      <c r="I12" s="12"/>
      <c r="J12" s="12"/>
      <c r="K12" s="12"/>
      <c r="L12" s="12"/>
      <c r="M12" s="7"/>
      <c r="N12" s="7"/>
      <c r="O12" s="7"/>
      <c r="P12" s="7"/>
      <c r="Q12" s="7"/>
      <c r="R12" s="7"/>
      <c r="S12" s="7"/>
      <c r="T12" s="7"/>
    </row>
    <row r="13" spans="1:20 16374:16384" ht="28.35" customHeight="1" x14ac:dyDescent="0.25">
      <c r="A13" s="14" t="s">
        <v>5</v>
      </c>
      <c r="B13" s="16" t="s">
        <v>47</v>
      </c>
      <c r="C13" s="16" t="s">
        <v>48</v>
      </c>
      <c r="D13" s="15" t="s">
        <v>49</v>
      </c>
      <c r="E13" s="16" t="s">
        <v>50</v>
      </c>
      <c r="F13" s="15" t="s">
        <v>51</v>
      </c>
      <c r="G13" s="16" t="s">
        <v>52</v>
      </c>
      <c r="H13" s="16" t="s">
        <v>53</v>
      </c>
      <c r="I13" s="16" t="s">
        <v>54</v>
      </c>
      <c r="J13" s="15" t="s">
        <v>55</v>
      </c>
      <c r="K13" s="15" t="s">
        <v>56</v>
      </c>
      <c r="L13" s="15" t="s">
        <v>57</v>
      </c>
      <c r="M13" s="16" t="s">
        <v>58</v>
      </c>
      <c r="N13" s="17" t="s">
        <v>59</v>
      </c>
      <c r="O13" s="17" t="s">
        <v>60</v>
      </c>
      <c r="P13" s="16" t="s">
        <v>61</v>
      </c>
      <c r="Q13" s="16" t="s">
        <v>62</v>
      </c>
      <c r="R13" s="15" t="s">
        <v>63</v>
      </c>
      <c r="S13" s="17" t="s">
        <v>64</v>
      </c>
      <c r="T13" s="17" t="s">
        <v>65</v>
      </c>
    </row>
    <row r="14" spans="1:20 16374:16384" ht="28.35" customHeight="1" x14ac:dyDescent="0.25">
      <c r="A14" s="14" t="s">
        <v>14</v>
      </c>
      <c r="B14" s="16" t="s">
        <v>66</v>
      </c>
      <c r="C14" s="16" t="s">
        <v>67</v>
      </c>
      <c r="D14" s="15" t="s">
        <v>68</v>
      </c>
      <c r="E14" s="16" t="s">
        <v>69</v>
      </c>
      <c r="F14" s="15" t="s">
        <v>70</v>
      </c>
      <c r="G14" s="16" t="s">
        <v>71</v>
      </c>
      <c r="H14" s="16" t="s">
        <v>72</v>
      </c>
      <c r="I14" s="16" t="s">
        <v>73</v>
      </c>
      <c r="J14" s="15" t="s">
        <v>74</v>
      </c>
      <c r="K14" s="15" t="s">
        <v>75</v>
      </c>
      <c r="L14" s="15" t="s">
        <v>76</v>
      </c>
      <c r="M14" s="16" t="s">
        <v>77</v>
      </c>
      <c r="N14" s="17" t="s">
        <v>78</v>
      </c>
      <c r="O14" s="17" t="s">
        <v>79</v>
      </c>
      <c r="P14" s="16" t="s">
        <v>80</v>
      </c>
      <c r="Q14" s="16" t="s">
        <v>81</v>
      </c>
      <c r="R14" s="15" t="s">
        <v>82</v>
      </c>
      <c r="S14" s="24" t="s">
        <v>83</v>
      </c>
      <c r="T14" s="17" t="s">
        <v>84</v>
      </c>
    </row>
    <row r="15" spans="1:20 16374:16384" s="22" customFormat="1" ht="89.25" x14ac:dyDescent="0.25">
      <c r="A15" s="17" t="s">
        <v>23</v>
      </c>
      <c r="B15" s="19" t="s">
        <v>85</v>
      </c>
      <c r="C15" s="19" t="s">
        <v>86</v>
      </c>
      <c r="D15" s="19" t="s">
        <v>87</v>
      </c>
      <c r="E15" s="19" t="s">
        <v>88</v>
      </c>
      <c r="F15" s="19" t="s">
        <v>89</v>
      </c>
      <c r="G15" s="19" t="s">
        <v>90</v>
      </c>
      <c r="H15" s="19" t="s">
        <v>91</v>
      </c>
      <c r="I15" s="19" t="s">
        <v>92</v>
      </c>
      <c r="J15" s="19" t="s">
        <v>93</v>
      </c>
      <c r="K15" s="19" t="s">
        <v>94</v>
      </c>
      <c r="L15" s="19" t="s">
        <v>95</v>
      </c>
      <c r="M15" s="19" t="s">
        <v>96</v>
      </c>
      <c r="N15" s="25" t="s">
        <v>97</v>
      </c>
      <c r="O15" s="25" t="s">
        <v>98</v>
      </c>
      <c r="P15" s="25" t="s">
        <v>99</v>
      </c>
      <c r="Q15" s="25" t="s">
        <v>100</v>
      </c>
      <c r="R15" s="25" t="s">
        <v>101</v>
      </c>
      <c r="S15" s="25" t="s">
        <v>102</v>
      </c>
      <c r="T15" s="25" t="s">
        <v>103</v>
      </c>
      <c r="XET15"/>
      <c r="XEU15"/>
      <c r="XEV15"/>
      <c r="XEW15"/>
      <c r="XEX15"/>
      <c r="XEY15"/>
      <c r="XEZ15"/>
      <c r="XFA15"/>
      <c r="XFB15"/>
      <c r="XFC15"/>
      <c r="XFD15"/>
    </row>
    <row r="16" spans="1:20 16374:16384" s="22" customFormat="1" ht="76.5" x14ac:dyDescent="0.25">
      <c r="A16" s="17" t="s">
        <v>32</v>
      </c>
      <c r="B16" s="19" t="s">
        <v>104</v>
      </c>
      <c r="C16" s="19" t="s">
        <v>105</v>
      </c>
      <c r="D16" s="19" t="s">
        <v>106</v>
      </c>
      <c r="E16" s="23" t="s">
        <v>107</v>
      </c>
      <c r="F16" s="23">
        <v>37587</v>
      </c>
      <c r="G16" s="19" t="s">
        <v>108</v>
      </c>
      <c r="H16" s="19" t="s">
        <v>109</v>
      </c>
      <c r="I16" s="19" t="s">
        <v>110</v>
      </c>
      <c r="J16" s="19">
        <v>43.619264000000001</v>
      </c>
      <c r="K16" s="19">
        <v>3.967454</v>
      </c>
      <c r="L16" s="19" t="s">
        <v>111</v>
      </c>
      <c r="M16" s="19" t="s">
        <v>112</v>
      </c>
      <c r="N16" s="25" t="s">
        <v>113</v>
      </c>
      <c r="O16" s="25" t="s">
        <v>114</v>
      </c>
      <c r="P16" s="25" t="s">
        <v>115</v>
      </c>
      <c r="Q16" s="25" t="s">
        <v>116</v>
      </c>
      <c r="R16" s="25" t="s">
        <v>117</v>
      </c>
      <c r="S16" s="25" t="s">
        <v>118</v>
      </c>
      <c r="T16" s="25" t="s">
        <v>119</v>
      </c>
      <c r="XET16"/>
      <c r="XEU16"/>
      <c r="XEV16"/>
      <c r="XEW16"/>
      <c r="XEX16"/>
      <c r="XEY16"/>
      <c r="XEZ16"/>
      <c r="XFA16"/>
      <c r="XFB16"/>
      <c r="XFC16"/>
      <c r="XFD16"/>
    </row>
    <row r="17" spans="1:20 16374:16384" s="22" customFormat="1" ht="60" x14ac:dyDescent="0.25">
      <c r="A17" s="17" t="s">
        <v>38</v>
      </c>
      <c r="B17" s="19" t="s">
        <v>39</v>
      </c>
      <c r="C17" s="19" t="s">
        <v>40</v>
      </c>
      <c r="D17" s="19" t="s">
        <v>41</v>
      </c>
      <c r="E17" s="19" t="s">
        <v>42</v>
      </c>
      <c r="F17" s="19" t="s">
        <v>42</v>
      </c>
      <c r="G17" s="19" t="s">
        <v>40</v>
      </c>
      <c r="H17" s="19" t="s">
        <v>120</v>
      </c>
      <c r="I17" s="19" t="s">
        <v>40</v>
      </c>
      <c r="J17" s="19" t="s">
        <v>121</v>
      </c>
      <c r="K17" s="19" t="s">
        <v>121</v>
      </c>
      <c r="L17" s="19" t="s">
        <v>122</v>
      </c>
      <c r="M17" s="19" t="s">
        <v>41</v>
      </c>
      <c r="N17" s="25" t="s">
        <v>123</v>
      </c>
      <c r="O17" s="25" t="s">
        <v>124</v>
      </c>
      <c r="P17" s="25" t="s">
        <v>41</v>
      </c>
      <c r="Q17" s="25" t="s">
        <v>40</v>
      </c>
      <c r="R17" s="25" t="s">
        <v>125</v>
      </c>
      <c r="S17" s="25" t="s">
        <v>41</v>
      </c>
      <c r="T17" s="25" t="s">
        <v>126</v>
      </c>
      <c r="XET17"/>
      <c r="XEU17"/>
      <c r="XEV17"/>
      <c r="XEW17"/>
      <c r="XEX17"/>
      <c r="XEY17"/>
      <c r="XEZ17"/>
      <c r="XFA17"/>
      <c r="XFB17"/>
      <c r="XFC17"/>
      <c r="XFD17"/>
    </row>
    <row r="18" spans="1:20 16374:16384" ht="56.65" customHeight="1" x14ac:dyDescent="0.3">
      <c r="A18" s="11" t="s">
        <v>127</v>
      </c>
      <c r="B18" s="12"/>
      <c r="C18" s="12"/>
      <c r="D18" s="12"/>
      <c r="E18" s="12"/>
      <c r="F18" s="12"/>
      <c r="G18" s="12"/>
      <c r="H18" s="12"/>
      <c r="I18" s="12"/>
      <c r="J18" s="12"/>
      <c r="K18" s="12"/>
      <c r="L18" s="12"/>
      <c r="M18" s="7"/>
      <c r="N18" s="7"/>
      <c r="O18" s="7"/>
      <c r="P18" s="7"/>
      <c r="Q18" s="7"/>
      <c r="R18" s="7"/>
      <c r="S18" s="7"/>
      <c r="T18" s="7"/>
    </row>
    <row r="19" spans="1:20 16374:16384" ht="25.5" x14ac:dyDescent="0.25">
      <c r="A19" s="13" t="s">
        <v>128</v>
      </c>
      <c r="B19" s="12"/>
      <c r="C19" s="12"/>
      <c r="D19" s="12"/>
      <c r="E19" s="12"/>
      <c r="F19" s="12"/>
      <c r="G19" s="12"/>
      <c r="H19" s="12"/>
      <c r="I19" s="12"/>
      <c r="J19" s="12"/>
      <c r="K19" s="12"/>
      <c r="L19" s="12"/>
      <c r="M19" s="7"/>
      <c r="N19" s="7"/>
      <c r="O19" s="7"/>
      <c r="P19" s="7"/>
      <c r="Q19" s="7"/>
      <c r="R19" s="7"/>
      <c r="S19" s="7"/>
      <c r="T19" s="7"/>
    </row>
    <row r="20" spans="1:20 16374:16384" ht="28.35" customHeight="1" x14ac:dyDescent="0.25">
      <c r="A20" s="14" t="s">
        <v>5</v>
      </c>
      <c r="B20" s="15" t="s">
        <v>47</v>
      </c>
      <c r="C20" s="16" t="s">
        <v>129</v>
      </c>
      <c r="D20" s="17" t="s">
        <v>130</v>
      </c>
      <c r="E20" s="15" t="s">
        <v>131</v>
      </c>
      <c r="F20" s="16" t="s">
        <v>132</v>
      </c>
      <c r="G20" s="16" t="s">
        <v>133</v>
      </c>
      <c r="H20" s="7"/>
      <c r="I20" s="7"/>
      <c r="J20" s="7"/>
      <c r="K20" s="7"/>
      <c r="L20" s="7"/>
      <c r="M20" s="7"/>
      <c r="N20" s="7"/>
      <c r="O20" s="7"/>
      <c r="P20" s="7"/>
      <c r="Q20" s="7"/>
      <c r="R20" s="7"/>
      <c r="S20" s="7"/>
      <c r="T20" s="7"/>
    </row>
    <row r="21" spans="1:20 16374:16384" ht="28.35" customHeight="1" x14ac:dyDescent="0.25">
      <c r="A21" s="14" t="s">
        <v>14</v>
      </c>
      <c r="B21" s="15" t="s">
        <v>66</v>
      </c>
      <c r="C21" s="16" t="s">
        <v>134</v>
      </c>
      <c r="D21" s="17" t="s">
        <v>135</v>
      </c>
      <c r="E21" s="15" t="s">
        <v>136</v>
      </c>
      <c r="F21" s="16" t="s">
        <v>137</v>
      </c>
      <c r="G21" s="16" t="s">
        <v>138</v>
      </c>
      <c r="H21" s="7"/>
      <c r="I21" s="7"/>
      <c r="J21" s="7"/>
      <c r="K21" s="7"/>
      <c r="L21" s="7"/>
      <c r="M21" s="7"/>
      <c r="N21" s="7"/>
      <c r="O21" s="7"/>
      <c r="P21" s="7"/>
      <c r="Q21" s="7"/>
      <c r="R21" s="7"/>
      <c r="S21" s="7"/>
      <c r="T21" s="7"/>
    </row>
    <row r="22" spans="1:20 16374:16384" s="22" customFormat="1" ht="51" x14ac:dyDescent="0.25">
      <c r="A22" s="17" t="s">
        <v>23</v>
      </c>
      <c r="B22" s="19" t="s">
        <v>139</v>
      </c>
      <c r="C22" s="19" t="s">
        <v>140</v>
      </c>
      <c r="D22" s="19" t="s">
        <v>141</v>
      </c>
      <c r="E22" s="19" t="s">
        <v>142</v>
      </c>
      <c r="F22" s="19" t="s">
        <v>143</v>
      </c>
      <c r="G22" s="19" t="s">
        <v>144</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30" x14ac:dyDescent="0.25">
      <c r="A23" s="17" t="s">
        <v>32</v>
      </c>
      <c r="B23" s="19" t="s">
        <v>145</v>
      </c>
      <c r="C23" s="19" t="s">
        <v>146</v>
      </c>
      <c r="D23" s="19" t="s">
        <v>147</v>
      </c>
      <c r="E23" s="23" t="s">
        <v>148</v>
      </c>
      <c r="F23" s="23" t="s">
        <v>149</v>
      </c>
      <c r="G23" s="19" t="s">
        <v>150</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25">
      <c r="A24" s="17" t="s">
        <v>38</v>
      </c>
      <c r="B24" s="19" t="s">
        <v>151</v>
      </c>
      <c r="C24" s="19" t="s">
        <v>152</v>
      </c>
      <c r="D24" s="19" t="s">
        <v>153</v>
      </c>
      <c r="E24" s="19" t="s">
        <v>39</v>
      </c>
      <c r="F24" s="19" t="s">
        <v>40</v>
      </c>
      <c r="G24" s="19" t="s">
        <v>40</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65" customHeight="1" x14ac:dyDescent="0.3">
      <c r="A25" s="26" t="s">
        <v>154</v>
      </c>
      <c r="B25" s="12"/>
      <c r="C25" s="12"/>
      <c r="D25" s="12"/>
      <c r="E25" s="12"/>
      <c r="F25" s="12"/>
      <c r="G25" s="12"/>
      <c r="H25" s="12"/>
      <c r="I25" s="12"/>
      <c r="J25" s="12"/>
      <c r="K25" s="12"/>
      <c r="L25" s="12"/>
      <c r="M25" s="7"/>
      <c r="N25" s="7"/>
      <c r="O25" s="7"/>
      <c r="P25" s="7"/>
      <c r="Q25" s="7"/>
      <c r="R25" s="7"/>
      <c r="S25" s="7"/>
      <c r="T25" s="7"/>
    </row>
    <row r="26" spans="1:20 16374:16384" ht="51" x14ac:dyDescent="0.25">
      <c r="A26" s="13" t="s">
        <v>155</v>
      </c>
      <c r="B26" s="12"/>
      <c r="C26" s="12"/>
      <c r="D26" s="12"/>
      <c r="E26" s="12"/>
      <c r="F26" s="12"/>
      <c r="G26" s="12"/>
      <c r="H26" s="12"/>
      <c r="I26" s="12"/>
      <c r="J26" s="12"/>
      <c r="K26" s="12"/>
      <c r="L26" s="12"/>
      <c r="M26" s="7"/>
      <c r="N26" s="7"/>
      <c r="O26" s="7"/>
      <c r="P26" s="7"/>
      <c r="Q26" s="7"/>
      <c r="R26" s="7"/>
      <c r="S26" s="7"/>
      <c r="T26" s="7"/>
    </row>
    <row r="27" spans="1:20 16374:16384" ht="28.35" customHeight="1" x14ac:dyDescent="0.25">
      <c r="A27" s="14" t="s">
        <v>5</v>
      </c>
      <c r="B27" s="16" t="s">
        <v>47</v>
      </c>
      <c r="C27" s="16" t="s">
        <v>156</v>
      </c>
      <c r="D27" s="16" t="s">
        <v>157</v>
      </c>
      <c r="E27" s="16" t="s">
        <v>158</v>
      </c>
      <c r="F27" s="7"/>
      <c r="G27" s="7"/>
      <c r="H27" s="7"/>
      <c r="I27" s="7"/>
      <c r="J27" s="7"/>
      <c r="K27" s="7"/>
      <c r="L27" s="7"/>
      <c r="M27" s="7"/>
      <c r="N27" s="7"/>
      <c r="O27" s="7"/>
      <c r="P27" s="7"/>
      <c r="Q27" s="7"/>
      <c r="R27" s="7"/>
      <c r="S27" s="7"/>
      <c r="T27" s="7"/>
    </row>
    <row r="28" spans="1:20 16374:16384" ht="28.35" customHeight="1" x14ac:dyDescent="0.25">
      <c r="A28" s="14" t="s">
        <v>14</v>
      </c>
      <c r="B28" s="16" t="s">
        <v>66</v>
      </c>
      <c r="C28" s="16" t="s">
        <v>159</v>
      </c>
      <c r="D28" s="16" t="s">
        <v>160</v>
      </c>
      <c r="E28" s="16" t="s">
        <v>161</v>
      </c>
      <c r="F28" s="7"/>
      <c r="G28" s="7"/>
      <c r="H28" s="7"/>
      <c r="I28" s="7"/>
      <c r="J28" s="7"/>
      <c r="K28" s="7"/>
      <c r="L28" s="7"/>
      <c r="M28" s="7"/>
      <c r="N28" s="7"/>
      <c r="O28" s="7"/>
      <c r="P28" s="7"/>
      <c r="Q28" s="7"/>
      <c r="R28" s="7"/>
      <c r="S28" s="7"/>
      <c r="T28" s="7"/>
    </row>
    <row r="29" spans="1:20 16374:16384" s="22" customFormat="1" ht="63.75" x14ac:dyDescent="0.25">
      <c r="A29" s="17" t="s">
        <v>23</v>
      </c>
      <c r="B29" s="19" t="s">
        <v>162</v>
      </c>
      <c r="C29" s="19" t="s">
        <v>163</v>
      </c>
      <c r="D29" s="19" t="s">
        <v>164</v>
      </c>
      <c r="E29" s="19" t="s">
        <v>165</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5.5" x14ac:dyDescent="0.25">
      <c r="A30" s="17" t="s">
        <v>32</v>
      </c>
      <c r="B30" s="19" t="s">
        <v>145</v>
      </c>
      <c r="C30" s="19" t="s">
        <v>166</v>
      </c>
      <c r="D30" s="19" t="s">
        <v>167</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25">
      <c r="A31" s="17" t="s">
        <v>38</v>
      </c>
      <c r="B31" s="19" t="s">
        <v>151</v>
      </c>
      <c r="C31" s="19" t="s">
        <v>168</v>
      </c>
      <c r="D31" s="19" t="s">
        <v>40</v>
      </c>
      <c r="E31" s="19" t="s">
        <v>169</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65" customHeight="1" x14ac:dyDescent="0.3">
      <c r="A32" s="11" t="s">
        <v>170</v>
      </c>
      <c r="B32" s="12"/>
      <c r="C32" s="12"/>
      <c r="D32" s="12"/>
      <c r="E32" s="12"/>
      <c r="F32" s="12"/>
      <c r="G32" s="12"/>
      <c r="H32" s="12"/>
      <c r="I32" s="12"/>
      <c r="J32" s="12"/>
      <c r="K32" s="12"/>
      <c r="L32" s="12"/>
      <c r="M32" s="7"/>
      <c r="N32" s="7"/>
      <c r="O32" s="7"/>
      <c r="P32" s="7"/>
      <c r="Q32" s="7"/>
      <c r="R32" s="7"/>
      <c r="S32" s="7"/>
      <c r="T32" s="7"/>
    </row>
    <row r="33" spans="1:25 16374:16384" ht="63.75" x14ac:dyDescent="0.25">
      <c r="A33" s="13" t="s">
        <v>171</v>
      </c>
      <c r="B33" s="12"/>
      <c r="C33" s="12"/>
      <c r="D33" s="12"/>
      <c r="E33" s="12"/>
      <c r="F33" s="12"/>
      <c r="G33" s="12"/>
      <c r="H33" s="12"/>
      <c r="I33" s="12"/>
      <c r="J33" s="12"/>
      <c r="K33" s="12"/>
      <c r="L33" s="12"/>
      <c r="M33" s="7"/>
      <c r="N33" s="7"/>
      <c r="O33" s="7"/>
      <c r="P33" s="7"/>
      <c r="Q33" s="7"/>
      <c r="R33" s="7"/>
      <c r="S33" s="7"/>
      <c r="T33" s="7"/>
    </row>
    <row r="34" spans="1:25 16374:16384" ht="28.35" customHeight="1" x14ac:dyDescent="0.25">
      <c r="A34" s="14" t="s">
        <v>5</v>
      </c>
      <c r="B34" s="16" t="s">
        <v>47</v>
      </c>
      <c r="C34" s="16" t="s">
        <v>172</v>
      </c>
      <c r="D34" s="15" t="s">
        <v>173</v>
      </c>
      <c r="E34" s="15" t="s">
        <v>174</v>
      </c>
      <c r="F34" s="15" t="s">
        <v>175</v>
      </c>
      <c r="G34" s="15" t="s">
        <v>176</v>
      </c>
      <c r="H34" s="15" t="s">
        <v>177</v>
      </c>
      <c r="I34" s="17" t="s">
        <v>178</v>
      </c>
      <c r="J34" s="17" t="s">
        <v>179</v>
      </c>
      <c r="K34" s="17" t="s">
        <v>180</v>
      </c>
      <c r="L34" s="17" t="s">
        <v>181</v>
      </c>
      <c r="M34" s="17" t="s">
        <v>182</v>
      </c>
      <c r="N34" s="15" t="s">
        <v>183</v>
      </c>
      <c r="O34" s="15" t="s">
        <v>184</v>
      </c>
      <c r="P34" s="17" t="s">
        <v>185</v>
      </c>
      <c r="Q34" s="17" t="s">
        <v>186</v>
      </c>
      <c r="R34" s="17" t="s">
        <v>187</v>
      </c>
      <c r="S34" s="17" t="s">
        <v>188</v>
      </c>
      <c r="T34" s="17" t="s">
        <v>189</v>
      </c>
      <c r="U34" s="17" t="s">
        <v>190</v>
      </c>
      <c r="V34" s="17" t="s">
        <v>191</v>
      </c>
      <c r="W34" s="17" t="s">
        <v>192</v>
      </c>
      <c r="X34" s="17" t="s">
        <v>193</v>
      </c>
      <c r="Y34" s="17" t="s">
        <v>194</v>
      </c>
    </row>
    <row r="35" spans="1:25 16374:16384" ht="28.35" customHeight="1" x14ac:dyDescent="0.25">
      <c r="A35" s="14" t="s">
        <v>14</v>
      </c>
      <c r="B35" s="16" t="s">
        <v>66</v>
      </c>
      <c r="C35" s="16" t="s">
        <v>195</v>
      </c>
      <c r="D35" s="15" t="s">
        <v>196</v>
      </c>
      <c r="E35" s="15" t="s">
        <v>197</v>
      </c>
      <c r="F35" s="15" t="s">
        <v>198</v>
      </c>
      <c r="G35" s="15" t="s">
        <v>199</v>
      </c>
      <c r="H35" s="15" t="s">
        <v>200</v>
      </c>
      <c r="I35" s="17" t="s">
        <v>201</v>
      </c>
      <c r="J35" s="17" t="s">
        <v>202</v>
      </c>
      <c r="K35" s="17" t="s">
        <v>203</v>
      </c>
      <c r="L35" s="17" t="s">
        <v>204</v>
      </c>
      <c r="M35" s="17" t="s">
        <v>205</v>
      </c>
      <c r="N35" s="15" t="s">
        <v>206</v>
      </c>
      <c r="O35" s="15" t="s">
        <v>207</v>
      </c>
      <c r="P35" s="17" t="s">
        <v>208</v>
      </c>
      <c r="Q35" s="17" t="s">
        <v>209</v>
      </c>
      <c r="R35" s="17" t="s">
        <v>210</v>
      </c>
      <c r="S35" s="17" t="s">
        <v>211</v>
      </c>
      <c r="T35" s="17" t="s">
        <v>212</v>
      </c>
      <c r="U35" s="17" t="s">
        <v>213</v>
      </c>
      <c r="V35" s="17" t="s">
        <v>214</v>
      </c>
      <c r="W35" s="17" t="s">
        <v>215</v>
      </c>
      <c r="X35" s="17" t="s">
        <v>216</v>
      </c>
      <c r="Y35" s="17" t="s">
        <v>217</v>
      </c>
    </row>
    <row r="36" spans="1:25 16374:16384" s="22" customFormat="1" ht="345" x14ac:dyDescent="0.25">
      <c r="A36" s="17" t="s">
        <v>23</v>
      </c>
      <c r="B36" s="19" t="s">
        <v>162</v>
      </c>
      <c r="C36" s="19" t="s">
        <v>218</v>
      </c>
      <c r="D36" s="19" t="s">
        <v>219</v>
      </c>
      <c r="E36" s="19" t="s">
        <v>220</v>
      </c>
      <c r="F36" s="19" t="s">
        <v>221</v>
      </c>
      <c r="G36" s="19" t="s">
        <v>222</v>
      </c>
      <c r="H36" s="19" t="s">
        <v>223</v>
      </c>
      <c r="I36" s="19" t="s">
        <v>224</v>
      </c>
      <c r="J36" s="19" t="s">
        <v>225</v>
      </c>
      <c r="K36" s="19" t="s">
        <v>226</v>
      </c>
      <c r="L36" s="19" t="s">
        <v>227</v>
      </c>
      <c r="M36" s="19" t="s">
        <v>228</v>
      </c>
      <c r="N36" s="25" t="s">
        <v>229</v>
      </c>
      <c r="O36" s="25" t="s">
        <v>230</v>
      </c>
      <c r="P36" s="25" t="s">
        <v>231</v>
      </c>
      <c r="Q36" s="25" t="s">
        <v>232</v>
      </c>
      <c r="R36" s="25" t="s">
        <v>233</v>
      </c>
      <c r="S36" s="25" t="s">
        <v>234</v>
      </c>
      <c r="T36" s="25" t="s">
        <v>235</v>
      </c>
      <c r="U36" s="28" t="s">
        <v>236</v>
      </c>
      <c r="V36" s="28" t="s">
        <v>237</v>
      </c>
      <c r="W36" s="28" t="s">
        <v>238</v>
      </c>
      <c r="X36" s="28" t="s">
        <v>239</v>
      </c>
      <c r="Y36" s="28" t="s">
        <v>240</v>
      </c>
      <c r="XET36"/>
      <c r="XEU36"/>
      <c r="XEV36"/>
      <c r="XEW36"/>
      <c r="XEX36"/>
      <c r="XEY36"/>
      <c r="XEZ36"/>
      <c r="XFA36"/>
      <c r="XFB36"/>
      <c r="XFC36"/>
      <c r="XFD36"/>
    </row>
    <row r="37" spans="1:25 16374:16384" s="22" customFormat="1" ht="120" x14ac:dyDescent="0.25">
      <c r="A37" s="17" t="s">
        <v>32</v>
      </c>
      <c r="B37" s="19" t="s">
        <v>145</v>
      </c>
      <c r="C37" s="19" t="s">
        <v>241</v>
      </c>
      <c r="D37" s="19" t="s">
        <v>242</v>
      </c>
      <c r="E37" s="23" t="s">
        <v>243</v>
      </c>
      <c r="F37" s="23" t="s">
        <v>244</v>
      </c>
      <c r="G37" s="19" t="s">
        <v>245</v>
      </c>
      <c r="H37" s="19" t="s">
        <v>246</v>
      </c>
      <c r="I37" s="19">
        <v>39.067</v>
      </c>
      <c r="J37" s="19">
        <v>-8.73</v>
      </c>
      <c r="K37" s="19" t="s">
        <v>247</v>
      </c>
      <c r="L37" s="19" t="s">
        <v>248</v>
      </c>
      <c r="M37" s="19" t="s">
        <v>249</v>
      </c>
      <c r="N37" s="25" t="s">
        <v>250</v>
      </c>
      <c r="O37" s="25" t="s">
        <v>251</v>
      </c>
      <c r="P37" s="25" t="s">
        <v>252</v>
      </c>
      <c r="Q37" s="25" t="s">
        <v>253</v>
      </c>
      <c r="R37" s="25" t="s">
        <v>254</v>
      </c>
      <c r="S37" s="25" t="s">
        <v>255</v>
      </c>
      <c r="T37" s="25" t="s">
        <v>256</v>
      </c>
      <c r="U37" s="28">
        <v>39.067</v>
      </c>
      <c r="V37" s="28">
        <v>-8.73</v>
      </c>
      <c r="W37" s="28" t="s">
        <v>247</v>
      </c>
      <c r="X37" s="28" t="s">
        <v>248</v>
      </c>
      <c r="Y37" s="28" t="s">
        <v>257</v>
      </c>
      <c r="XET37"/>
      <c r="XEU37"/>
      <c r="XEV37"/>
      <c r="XEW37"/>
      <c r="XEX37"/>
      <c r="XEY37"/>
      <c r="XEZ37"/>
      <c r="XFA37"/>
      <c r="XFB37"/>
      <c r="XFC37"/>
      <c r="XFD37"/>
    </row>
    <row r="38" spans="1:25 16374:16384" s="22" customFormat="1" ht="45" x14ac:dyDescent="0.25">
      <c r="A38" s="17" t="s">
        <v>38</v>
      </c>
      <c r="B38" s="19" t="s">
        <v>151</v>
      </c>
      <c r="C38" s="19" t="s">
        <v>39</v>
      </c>
      <c r="D38" s="19" t="s">
        <v>258</v>
      </c>
      <c r="E38" s="19" t="s">
        <v>39</v>
      </c>
      <c r="F38" s="19" t="s">
        <v>259</v>
      </c>
      <c r="G38" s="19" t="s">
        <v>260</v>
      </c>
      <c r="H38" s="19" t="s">
        <v>261</v>
      </c>
      <c r="I38" s="19" t="s">
        <v>121</v>
      </c>
      <c r="J38" s="19" t="s">
        <v>121</v>
      </c>
      <c r="K38" s="19" t="s">
        <v>122</v>
      </c>
      <c r="L38" s="19" t="s">
        <v>262</v>
      </c>
      <c r="M38" s="19" t="s">
        <v>263</v>
      </c>
      <c r="N38" s="25" t="s">
        <v>39</v>
      </c>
      <c r="O38" s="25" t="s">
        <v>44</v>
      </c>
      <c r="P38" s="25" t="s">
        <v>39</v>
      </c>
      <c r="Q38" s="25" t="s">
        <v>40</v>
      </c>
      <c r="R38" s="25" t="s">
        <v>39</v>
      </c>
      <c r="S38" s="25" t="s">
        <v>264</v>
      </c>
      <c r="T38" s="25" t="s">
        <v>265</v>
      </c>
      <c r="U38" s="28" t="s">
        <v>121</v>
      </c>
      <c r="V38" s="28" t="s">
        <v>121</v>
      </c>
      <c r="W38" s="28" t="s">
        <v>122</v>
      </c>
      <c r="X38" s="28" t="s">
        <v>122</v>
      </c>
      <c r="Y38" s="28" t="s">
        <v>41</v>
      </c>
      <c r="XET38"/>
      <c r="XEU38"/>
      <c r="XEV38"/>
      <c r="XEW38"/>
      <c r="XEX38"/>
      <c r="XEY38"/>
      <c r="XEZ38"/>
      <c r="XFA38"/>
      <c r="XFB38"/>
      <c r="XFC38"/>
      <c r="XFD38"/>
    </row>
    <row r="39" spans="1:25 16374:16384" ht="56.65" customHeight="1" x14ac:dyDescent="0.3">
      <c r="A39" s="29" t="s">
        <v>266</v>
      </c>
      <c r="B39" s="12"/>
      <c r="C39" s="12"/>
      <c r="D39" s="12"/>
      <c r="E39" s="12"/>
      <c r="F39" s="12"/>
      <c r="G39" s="12"/>
      <c r="H39" s="12"/>
      <c r="I39" s="12"/>
      <c r="J39" s="12"/>
      <c r="K39" s="12"/>
      <c r="L39" s="12"/>
      <c r="M39" s="7"/>
      <c r="N39" s="7"/>
      <c r="O39" s="7"/>
      <c r="P39" s="7"/>
      <c r="Q39" s="7"/>
      <c r="R39" s="7"/>
      <c r="S39" s="7"/>
      <c r="T39" s="7"/>
    </row>
    <row r="40" spans="1:25 16374:16384" ht="51" x14ac:dyDescent="0.25">
      <c r="A40" s="13" t="s">
        <v>267</v>
      </c>
      <c r="B40" s="12"/>
      <c r="C40" s="12"/>
      <c r="D40" s="12"/>
      <c r="E40" s="12"/>
      <c r="F40" s="12"/>
      <c r="G40" s="12"/>
      <c r="H40" s="12"/>
      <c r="I40" s="12"/>
      <c r="J40" s="12"/>
      <c r="K40" s="12"/>
      <c r="L40" s="12"/>
      <c r="M40" s="7"/>
      <c r="N40" s="7"/>
      <c r="O40" s="7"/>
      <c r="P40" s="7"/>
      <c r="Q40" s="7"/>
      <c r="R40" s="7"/>
      <c r="S40" s="7"/>
      <c r="T40" s="7"/>
    </row>
    <row r="41" spans="1:25 16374:16384" ht="28.35" customHeight="1" x14ac:dyDescent="0.25">
      <c r="A41" s="14" t="s">
        <v>5</v>
      </c>
      <c r="B41" s="16" t="s">
        <v>47</v>
      </c>
      <c r="C41" s="16" t="s">
        <v>268</v>
      </c>
      <c r="D41" s="16" t="s">
        <v>269</v>
      </c>
      <c r="E41" s="30"/>
      <c r="F41" s="7"/>
      <c r="G41" s="7"/>
      <c r="H41" s="7"/>
      <c r="I41" s="7"/>
      <c r="J41" s="7"/>
      <c r="K41" s="7"/>
      <c r="L41" s="7"/>
      <c r="M41" s="7"/>
      <c r="N41" s="7"/>
      <c r="O41" s="7"/>
      <c r="P41" s="7"/>
      <c r="Q41" s="7"/>
      <c r="R41" s="7"/>
      <c r="S41" s="7"/>
      <c r="T41" s="7"/>
    </row>
    <row r="42" spans="1:25 16374:16384" ht="28.35" customHeight="1" x14ac:dyDescent="0.25">
      <c r="A42" s="14" t="s">
        <v>14</v>
      </c>
      <c r="B42" s="16" t="s">
        <v>66</v>
      </c>
      <c r="C42" s="16" t="s">
        <v>270</v>
      </c>
      <c r="D42" s="16" t="s">
        <v>271</v>
      </c>
      <c r="E42" s="30"/>
      <c r="F42" s="7"/>
      <c r="G42" s="7"/>
      <c r="H42" s="7"/>
      <c r="I42" s="7"/>
      <c r="J42" s="7"/>
      <c r="K42" s="7"/>
      <c r="L42" s="7"/>
      <c r="M42" s="7"/>
      <c r="N42" s="7"/>
      <c r="O42" s="7"/>
      <c r="P42" s="7"/>
      <c r="Q42" s="7"/>
      <c r="R42" s="7"/>
      <c r="S42" s="7"/>
      <c r="T42" s="7"/>
    </row>
    <row r="43" spans="1:25 16374:16384" s="22" customFormat="1" ht="51" x14ac:dyDescent="0.25">
      <c r="A43" s="17" t="s">
        <v>23</v>
      </c>
      <c r="B43" s="19" t="s">
        <v>162</v>
      </c>
      <c r="C43" s="19" t="s">
        <v>272</v>
      </c>
      <c r="D43" s="19" t="s">
        <v>273</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5.5" x14ac:dyDescent="0.25">
      <c r="A44" s="17" t="s">
        <v>32</v>
      </c>
      <c r="B44" s="19" t="s">
        <v>145</v>
      </c>
      <c r="C44" s="19" t="s">
        <v>274</v>
      </c>
      <c r="D44" s="19" t="s">
        <v>275</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25">
      <c r="A45" s="17" t="s">
        <v>38</v>
      </c>
      <c r="B45" s="19" t="s">
        <v>151</v>
      </c>
      <c r="C45" s="19" t="s">
        <v>276</v>
      </c>
      <c r="D45" s="19" t="s">
        <v>41</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65" customHeight="1" x14ac:dyDescent="0.3">
      <c r="A46" s="29" t="s">
        <v>277</v>
      </c>
      <c r="B46" s="12"/>
      <c r="C46" s="12"/>
      <c r="D46" s="12"/>
      <c r="E46" s="12"/>
      <c r="F46" s="12"/>
      <c r="G46" s="12"/>
      <c r="H46" s="12"/>
      <c r="I46" s="12"/>
      <c r="J46" s="12"/>
      <c r="K46" s="12"/>
      <c r="L46" s="12"/>
      <c r="M46" s="7"/>
      <c r="N46" s="7"/>
      <c r="O46" s="7"/>
      <c r="P46" s="7"/>
      <c r="Q46" s="7"/>
      <c r="R46" s="7"/>
      <c r="S46" s="7"/>
      <c r="T46" s="7"/>
    </row>
    <row r="47" spans="1:25 16374:16384" ht="89.25" x14ac:dyDescent="0.25">
      <c r="A47" s="13" t="s">
        <v>278</v>
      </c>
      <c r="B47" s="12"/>
      <c r="C47" s="12"/>
      <c r="D47" s="12"/>
      <c r="E47" s="12"/>
      <c r="F47" s="12"/>
      <c r="G47" s="12"/>
      <c r="H47" s="12"/>
      <c r="I47" s="12"/>
      <c r="J47" s="12"/>
      <c r="K47" s="12"/>
      <c r="L47" s="12"/>
      <c r="M47" s="7"/>
      <c r="N47" s="7"/>
      <c r="O47" s="7"/>
      <c r="P47" s="7"/>
      <c r="Q47" s="7"/>
      <c r="R47" s="7"/>
      <c r="S47" s="7"/>
      <c r="T47" s="7"/>
    </row>
    <row r="48" spans="1:25 16374:16384" ht="28.35" customHeight="1" x14ac:dyDescent="0.25">
      <c r="A48" s="14" t="s">
        <v>5</v>
      </c>
      <c r="B48" s="16" t="s">
        <v>47</v>
      </c>
      <c r="C48" s="16" t="s">
        <v>279</v>
      </c>
      <c r="D48" s="15" t="s">
        <v>280</v>
      </c>
      <c r="E48" s="16" t="s">
        <v>281</v>
      </c>
      <c r="F48" s="31"/>
      <c r="G48" s="31"/>
      <c r="H48" s="31"/>
      <c r="I48" s="31"/>
      <c r="J48" s="31"/>
      <c r="K48" s="31"/>
      <c r="L48" s="31"/>
      <c r="M48" s="31"/>
      <c r="N48" s="31"/>
      <c r="O48" s="7"/>
      <c r="P48" s="7"/>
      <c r="Q48" s="7"/>
      <c r="R48" s="7"/>
      <c r="S48" s="7"/>
      <c r="T48" s="7"/>
    </row>
    <row r="49" spans="1:20 16374:16384" ht="28.35" customHeight="1" x14ac:dyDescent="0.25">
      <c r="A49" s="14" t="s">
        <v>14</v>
      </c>
      <c r="B49" s="16" t="s">
        <v>66</v>
      </c>
      <c r="C49" s="16" t="s">
        <v>282</v>
      </c>
      <c r="D49" s="15" t="s">
        <v>283</v>
      </c>
      <c r="E49" s="16" t="s">
        <v>284</v>
      </c>
      <c r="F49" s="31"/>
      <c r="G49" s="31"/>
      <c r="H49" s="31"/>
      <c r="I49" s="31"/>
      <c r="J49" s="31"/>
      <c r="K49" s="31"/>
      <c r="L49" s="31"/>
      <c r="M49" s="31"/>
      <c r="N49" s="31"/>
      <c r="O49" s="7"/>
      <c r="P49" s="7"/>
      <c r="Q49" s="7"/>
      <c r="R49" s="7"/>
      <c r="S49" s="7"/>
      <c r="T49" s="7"/>
    </row>
    <row r="50" spans="1:20 16374:16384" s="22" customFormat="1" ht="63.75" x14ac:dyDescent="0.25">
      <c r="A50" s="17" t="s">
        <v>23</v>
      </c>
      <c r="B50" s="19" t="s">
        <v>162</v>
      </c>
      <c r="C50" s="19" t="s">
        <v>285</v>
      </c>
      <c r="D50" s="19" t="s">
        <v>286</v>
      </c>
      <c r="E50" s="19" t="s">
        <v>287</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25">
      <c r="A51" s="17" t="s">
        <v>32</v>
      </c>
      <c r="B51" s="19" t="s">
        <v>145</v>
      </c>
      <c r="C51" s="19" t="s">
        <v>288</v>
      </c>
      <c r="D51" s="19" t="s">
        <v>289</v>
      </c>
      <c r="E51" s="23" t="s">
        <v>290</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25">
      <c r="A52" s="17" t="s">
        <v>38</v>
      </c>
      <c r="B52" s="19" t="s">
        <v>151</v>
      </c>
      <c r="C52" s="19" t="s">
        <v>291</v>
      </c>
      <c r="D52" s="19" t="s">
        <v>41</v>
      </c>
      <c r="E52" s="19" t="s">
        <v>41</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65" customHeight="1" x14ac:dyDescent="0.3">
      <c r="A53" s="29" t="s">
        <v>292</v>
      </c>
      <c r="B53" s="12"/>
      <c r="C53" s="12"/>
      <c r="D53" s="12"/>
      <c r="E53" s="12"/>
      <c r="F53" s="12"/>
      <c r="G53" s="12"/>
      <c r="H53" s="12"/>
      <c r="I53" s="12"/>
      <c r="J53" s="12"/>
      <c r="K53" s="12"/>
      <c r="L53" s="12"/>
      <c r="M53" s="7"/>
      <c r="N53" s="7"/>
      <c r="O53" s="7"/>
      <c r="P53" s="7"/>
      <c r="Q53" s="7"/>
      <c r="R53" s="7"/>
      <c r="S53" s="7"/>
      <c r="T53" s="7"/>
    </row>
    <row r="54" spans="1:20 16374:16384" ht="63.75" x14ac:dyDescent="0.25">
      <c r="A54" s="13" t="s">
        <v>293</v>
      </c>
      <c r="B54" s="12"/>
      <c r="C54" s="12"/>
      <c r="D54" s="12"/>
      <c r="E54" s="12"/>
      <c r="F54" s="12"/>
      <c r="G54" s="12"/>
      <c r="H54" s="12"/>
      <c r="I54" s="12"/>
      <c r="J54" s="12"/>
      <c r="K54" s="12"/>
      <c r="L54" s="12"/>
      <c r="M54" s="7"/>
      <c r="N54" s="7"/>
      <c r="O54" s="7"/>
      <c r="P54" s="7"/>
      <c r="Q54" s="7"/>
      <c r="R54" s="7"/>
      <c r="S54" s="7"/>
      <c r="T54" s="7"/>
    </row>
    <row r="55" spans="1:20 16374:16384" ht="28.35" customHeight="1" x14ac:dyDescent="0.25">
      <c r="A55" s="14" t="s">
        <v>5</v>
      </c>
      <c r="B55" s="16" t="s">
        <v>47</v>
      </c>
      <c r="C55" s="15" t="s">
        <v>294</v>
      </c>
      <c r="D55" s="16" t="s">
        <v>295</v>
      </c>
      <c r="E55" s="17" t="s">
        <v>296</v>
      </c>
      <c r="F55" s="15" t="s">
        <v>297</v>
      </c>
      <c r="G55" s="16" t="s">
        <v>298</v>
      </c>
      <c r="H55" s="32"/>
      <c r="I55" s="32"/>
      <c r="J55" s="32"/>
      <c r="K55" s="32"/>
      <c r="L55" s="32"/>
      <c r="M55" s="32"/>
      <c r="N55" s="32"/>
      <c r="O55" s="7"/>
      <c r="P55" s="7"/>
      <c r="Q55" s="7"/>
      <c r="R55" s="7"/>
      <c r="S55" s="7"/>
      <c r="T55" s="7"/>
    </row>
    <row r="56" spans="1:20 16374:16384" ht="28.35" customHeight="1" x14ac:dyDescent="0.25">
      <c r="A56" s="14" t="s">
        <v>14</v>
      </c>
      <c r="B56" s="16" t="s">
        <v>66</v>
      </c>
      <c r="C56" s="15" t="s">
        <v>299</v>
      </c>
      <c r="D56" s="16" t="s">
        <v>300</v>
      </c>
      <c r="E56" s="17" t="s">
        <v>301</v>
      </c>
      <c r="F56" s="15" t="s">
        <v>302</v>
      </c>
      <c r="G56" s="16" t="s">
        <v>303</v>
      </c>
      <c r="H56" s="32"/>
      <c r="I56" s="32"/>
      <c r="J56" s="32"/>
      <c r="K56" s="32"/>
      <c r="L56" s="32"/>
      <c r="M56" s="32"/>
      <c r="N56" s="32"/>
      <c r="O56" s="7"/>
      <c r="P56" s="7"/>
      <c r="Q56" s="7"/>
      <c r="R56" s="7"/>
      <c r="S56" s="7"/>
      <c r="T56" s="7"/>
    </row>
    <row r="57" spans="1:20 16374:16384" s="22" customFormat="1" ht="76.5" x14ac:dyDescent="0.25">
      <c r="A57" s="17" t="s">
        <v>23</v>
      </c>
      <c r="B57" s="19" t="s">
        <v>162</v>
      </c>
      <c r="C57" s="19" t="s">
        <v>304</v>
      </c>
      <c r="D57" s="19" t="s">
        <v>305</v>
      </c>
      <c r="E57" s="19" t="s">
        <v>306</v>
      </c>
      <c r="F57" s="19" t="s">
        <v>307</v>
      </c>
      <c r="G57" s="19" t="s">
        <v>308</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45" x14ac:dyDescent="0.25">
      <c r="A58" s="17" t="s">
        <v>32</v>
      </c>
      <c r="B58" s="19" t="s">
        <v>145</v>
      </c>
      <c r="C58" s="19" t="s">
        <v>309</v>
      </c>
      <c r="D58" s="19" t="s">
        <v>310</v>
      </c>
      <c r="E58" s="23" t="s">
        <v>311</v>
      </c>
      <c r="F58" s="23" t="s">
        <v>312</v>
      </c>
      <c r="G58" s="19" t="s">
        <v>313</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51" x14ac:dyDescent="0.25">
      <c r="A59" s="17" t="s">
        <v>38</v>
      </c>
      <c r="B59" s="19" t="s">
        <v>151</v>
      </c>
      <c r="C59" s="19" t="s">
        <v>314</v>
      </c>
      <c r="D59" s="19" t="s">
        <v>40</v>
      </c>
      <c r="E59" s="19" t="s">
        <v>315</v>
      </c>
      <c r="F59" s="19" t="s">
        <v>41</v>
      </c>
      <c r="G59" s="19" t="s">
        <v>42</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65" customHeight="1" x14ac:dyDescent="0.3">
      <c r="A60" s="11" t="s">
        <v>316</v>
      </c>
      <c r="B60" s="12"/>
      <c r="C60" s="12"/>
      <c r="D60" s="12"/>
      <c r="E60" s="12"/>
      <c r="F60" s="12"/>
      <c r="G60" s="12"/>
      <c r="H60" s="12"/>
      <c r="I60" s="12"/>
      <c r="J60" s="12"/>
      <c r="K60" s="12"/>
      <c r="L60" s="12"/>
      <c r="M60" s="7"/>
      <c r="N60" s="7"/>
      <c r="O60" s="7"/>
      <c r="P60" s="7"/>
      <c r="Q60" s="7"/>
      <c r="R60" s="7"/>
      <c r="S60" s="7"/>
      <c r="T60" s="7"/>
    </row>
    <row r="61" spans="1:20 16374:16384" ht="63.75" x14ac:dyDescent="0.25">
      <c r="A61" s="13" t="s">
        <v>317</v>
      </c>
      <c r="B61" s="12"/>
      <c r="C61" s="12"/>
      <c r="D61" s="12"/>
      <c r="E61" s="12"/>
      <c r="F61" s="12"/>
      <c r="G61" s="12"/>
      <c r="H61" s="12"/>
      <c r="I61" s="12"/>
      <c r="J61" s="12"/>
      <c r="K61" s="12"/>
      <c r="L61" s="12"/>
      <c r="M61" s="7"/>
      <c r="N61" s="7"/>
      <c r="O61" s="7"/>
      <c r="P61" s="7"/>
      <c r="Q61" s="7"/>
      <c r="R61" s="7"/>
      <c r="S61" s="7"/>
      <c r="T61" s="7"/>
    </row>
    <row r="62" spans="1:20 16374:16384" ht="28.35" customHeight="1" x14ac:dyDescent="0.25">
      <c r="A62" s="14" t="s">
        <v>5</v>
      </c>
      <c r="B62" s="16" t="s">
        <v>47</v>
      </c>
      <c r="C62" s="16" t="s">
        <v>318</v>
      </c>
      <c r="D62" s="16" t="s">
        <v>294</v>
      </c>
      <c r="E62" s="16" t="s">
        <v>319</v>
      </c>
      <c r="F62" s="17" t="s">
        <v>320</v>
      </c>
      <c r="G62" s="15" t="s">
        <v>321</v>
      </c>
      <c r="H62" s="15" t="s">
        <v>322</v>
      </c>
      <c r="I62" s="32"/>
      <c r="J62" s="32"/>
      <c r="K62" s="32"/>
      <c r="L62" s="32"/>
      <c r="M62" s="32"/>
      <c r="N62" s="32"/>
      <c r="O62" s="7"/>
      <c r="P62" s="7"/>
      <c r="Q62" s="7"/>
      <c r="R62" s="7"/>
      <c r="S62" s="7"/>
      <c r="T62" s="7"/>
    </row>
    <row r="63" spans="1:20 16374:16384" ht="28.35" customHeight="1" x14ac:dyDescent="0.25">
      <c r="A63" s="14" t="s">
        <v>14</v>
      </c>
      <c r="B63" s="16" t="s">
        <v>66</v>
      </c>
      <c r="C63" s="16" t="s">
        <v>195</v>
      </c>
      <c r="D63" s="16" t="s">
        <v>299</v>
      </c>
      <c r="E63" s="16" t="s">
        <v>323</v>
      </c>
      <c r="F63" s="17" t="s">
        <v>324</v>
      </c>
      <c r="G63" s="15" t="s">
        <v>325</v>
      </c>
      <c r="H63" s="15" t="s">
        <v>326</v>
      </c>
      <c r="I63" s="32"/>
      <c r="J63" s="32"/>
      <c r="K63" s="32"/>
      <c r="L63" s="32"/>
      <c r="M63" s="32"/>
      <c r="N63" s="32"/>
      <c r="O63" s="7"/>
      <c r="P63" s="7"/>
      <c r="Q63" s="7"/>
      <c r="R63" s="7"/>
      <c r="S63" s="7"/>
      <c r="T63" s="7"/>
    </row>
    <row r="64" spans="1:20 16374:16384" s="22" customFormat="1" ht="178.5" x14ac:dyDescent="0.25">
      <c r="A64" s="17" t="s">
        <v>23</v>
      </c>
      <c r="B64" s="19" t="s">
        <v>327</v>
      </c>
      <c r="C64" s="19" t="s">
        <v>328</v>
      </c>
      <c r="D64" s="19" t="s">
        <v>329</v>
      </c>
      <c r="E64" s="19" t="s">
        <v>330</v>
      </c>
      <c r="F64" s="19" t="s">
        <v>331</v>
      </c>
      <c r="G64" s="19" t="s">
        <v>332</v>
      </c>
      <c r="H64" s="19" t="s">
        <v>333</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5.5" x14ac:dyDescent="0.25">
      <c r="A65" s="17" t="s">
        <v>32</v>
      </c>
      <c r="B65" s="19" t="s">
        <v>334</v>
      </c>
      <c r="C65" s="19" t="s">
        <v>335</v>
      </c>
      <c r="D65" s="19" t="s">
        <v>309</v>
      </c>
      <c r="E65" s="23" t="s">
        <v>336</v>
      </c>
      <c r="F65" s="23" t="s">
        <v>337</v>
      </c>
      <c r="G65" s="19" t="s">
        <v>338</v>
      </c>
      <c r="H65" s="19" t="s">
        <v>339</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25">
      <c r="A66" s="17" t="s">
        <v>38</v>
      </c>
      <c r="B66" s="19" t="s">
        <v>39</v>
      </c>
      <c r="C66" s="19" t="s">
        <v>39</v>
      </c>
      <c r="D66" s="19" t="s">
        <v>39</v>
      </c>
      <c r="E66" s="19" t="s">
        <v>41</v>
      </c>
      <c r="F66" s="19" t="s">
        <v>39</v>
      </c>
      <c r="G66" s="19" t="s">
        <v>340</v>
      </c>
      <c r="H66" s="19" t="s">
        <v>41</v>
      </c>
      <c r="I66" s="20"/>
      <c r="J66" s="20"/>
      <c r="K66" s="20"/>
      <c r="L66" s="20"/>
      <c r="M66" s="20"/>
      <c r="N66" s="21"/>
      <c r="O66" s="21"/>
      <c r="P66" s="21"/>
      <c r="Q66" s="21"/>
      <c r="R66" s="21"/>
      <c r="S66" s="21"/>
      <c r="T66" s="21"/>
      <c r="XET66"/>
      <c r="XEU66"/>
      <c r="XEV66"/>
      <c r="XEW66"/>
      <c r="XEX66"/>
      <c r="XEY66"/>
      <c r="XEZ66"/>
      <c r="XFA66"/>
      <c r="XFB66"/>
      <c r="XFC66"/>
      <c r="XFD66"/>
    </row>
    <row r="67" spans="1:20 16374:16384" ht="56.65" customHeight="1" x14ac:dyDescent="0.3">
      <c r="A67" s="29" t="s">
        <v>341</v>
      </c>
      <c r="B67" s="12"/>
      <c r="C67" s="12"/>
      <c r="D67" s="12"/>
      <c r="E67" s="12"/>
      <c r="F67" s="12"/>
      <c r="G67" s="12"/>
      <c r="H67" s="12"/>
      <c r="I67" s="12"/>
      <c r="J67" s="12"/>
      <c r="K67" s="12"/>
      <c r="L67" s="12"/>
      <c r="M67" s="7"/>
      <c r="N67" s="7"/>
      <c r="O67" s="7"/>
      <c r="P67" s="7"/>
      <c r="Q67" s="7"/>
      <c r="R67" s="7"/>
      <c r="S67" s="7"/>
      <c r="T67" s="7"/>
    </row>
    <row r="68" spans="1:20 16374:16384" ht="102" x14ac:dyDescent="0.25">
      <c r="A68" s="13" t="s">
        <v>342</v>
      </c>
      <c r="B68" s="12"/>
      <c r="C68" s="12"/>
      <c r="D68" s="12"/>
      <c r="E68" s="12"/>
      <c r="F68" s="12"/>
      <c r="G68" s="12"/>
      <c r="H68" s="12"/>
      <c r="I68" s="12"/>
      <c r="J68" s="12"/>
      <c r="K68" s="12"/>
      <c r="L68" s="12"/>
      <c r="M68" s="7"/>
      <c r="N68" s="7"/>
      <c r="O68" s="7"/>
      <c r="P68" s="7"/>
      <c r="Q68" s="7"/>
      <c r="R68" s="7"/>
      <c r="S68" s="7"/>
      <c r="T68" s="7"/>
    </row>
    <row r="69" spans="1:20 16374:16384" ht="28.35" customHeight="1" x14ac:dyDescent="0.25">
      <c r="A69" s="14" t="s">
        <v>5</v>
      </c>
      <c r="B69" s="16" t="s">
        <v>294</v>
      </c>
      <c r="C69" s="16" t="s">
        <v>343</v>
      </c>
      <c r="D69" s="15" t="s">
        <v>344</v>
      </c>
      <c r="E69" s="16" t="s">
        <v>345</v>
      </c>
      <c r="F69" s="15" t="s">
        <v>346</v>
      </c>
      <c r="G69" s="16" t="s">
        <v>347</v>
      </c>
      <c r="H69" s="15" t="s">
        <v>348</v>
      </c>
      <c r="I69" s="33"/>
      <c r="J69" s="33"/>
      <c r="K69" s="33"/>
      <c r="L69" s="33"/>
      <c r="M69" s="33"/>
      <c r="N69" s="33"/>
      <c r="O69" s="7"/>
      <c r="P69" s="7"/>
      <c r="Q69" s="7"/>
      <c r="R69" s="7"/>
      <c r="S69" s="7"/>
      <c r="T69" s="7"/>
    </row>
    <row r="70" spans="1:20 16374:16384" ht="28.35" customHeight="1" x14ac:dyDescent="0.25">
      <c r="A70" s="14" t="s">
        <v>14</v>
      </c>
      <c r="B70" s="16" t="s">
        <v>299</v>
      </c>
      <c r="C70" s="16" t="s">
        <v>349</v>
      </c>
      <c r="D70" s="15" t="s">
        <v>350</v>
      </c>
      <c r="E70" s="16" t="s">
        <v>351</v>
      </c>
      <c r="F70" s="15" t="s">
        <v>352</v>
      </c>
      <c r="G70" s="16" t="s">
        <v>353</v>
      </c>
      <c r="H70" s="15" t="s">
        <v>324</v>
      </c>
      <c r="I70" s="33"/>
      <c r="J70" s="33"/>
      <c r="K70" s="33"/>
      <c r="L70" s="33"/>
      <c r="M70" s="33"/>
      <c r="N70" s="33"/>
      <c r="O70" s="7"/>
      <c r="P70" s="7"/>
      <c r="Q70" s="7"/>
      <c r="R70" s="7"/>
      <c r="S70" s="7"/>
      <c r="T70" s="7"/>
    </row>
    <row r="71" spans="1:20 16374:16384" s="22" customFormat="1" ht="89.25" x14ac:dyDescent="0.25">
      <c r="A71" s="17" t="s">
        <v>23</v>
      </c>
      <c r="B71" s="19" t="s">
        <v>354</v>
      </c>
      <c r="C71" s="19" t="s">
        <v>355</v>
      </c>
      <c r="D71" s="19" t="s">
        <v>356</v>
      </c>
      <c r="E71" s="19" t="s">
        <v>357</v>
      </c>
      <c r="F71" s="19" t="s">
        <v>358</v>
      </c>
      <c r="G71" s="19" t="s">
        <v>359</v>
      </c>
      <c r="H71" s="19" t="s">
        <v>360</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60" x14ac:dyDescent="0.25">
      <c r="A72" s="17" t="s">
        <v>32</v>
      </c>
      <c r="B72" s="19" t="s">
        <v>309</v>
      </c>
      <c r="C72" s="19" t="s">
        <v>361</v>
      </c>
      <c r="D72" s="19" t="s">
        <v>362</v>
      </c>
      <c r="E72" s="23" t="s">
        <v>363</v>
      </c>
      <c r="F72" s="23" t="s">
        <v>364</v>
      </c>
      <c r="G72" s="19" t="s">
        <v>365</v>
      </c>
      <c r="H72" s="19" t="s">
        <v>337</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5.5" x14ac:dyDescent="0.25">
      <c r="A73" s="17" t="s">
        <v>38</v>
      </c>
      <c r="B73" s="19" t="s">
        <v>366</v>
      </c>
      <c r="C73" s="19" t="s">
        <v>39</v>
      </c>
      <c r="D73" s="19" t="s">
        <v>367</v>
      </c>
      <c r="E73" s="19" t="s">
        <v>368</v>
      </c>
      <c r="F73" s="19" t="s">
        <v>41</v>
      </c>
      <c r="G73" s="19" t="s">
        <v>369</v>
      </c>
      <c r="H73" s="19" t="s">
        <v>39</v>
      </c>
      <c r="I73" s="20"/>
      <c r="J73" s="20"/>
      <c r="K73" s="20"/>
      <c r="L73" s="20"/>
      <c r="M73" s="20"/>
      <c r="N73" s="21"/>
      <c r="O73" s="21"/>
      <c r="P73" s="21"/>
      <c r="Q73" s="21"/>
      <c r="R73" s="21"/>
      <c r="S73" s="21"/>
      <c r="T73" s="21"/>
      <c r="XET73"/>
      <c r="XEU73"/>
      <c r="XEV73"/>
      <c r="XEW73"/>
      <c r="XEX73"/>
      <c r="XEY73"/>
      <c r="XEZ73"/>
      <c r="XFA73"/>
      <c r="XFB73"/>
      <c r="XFC73"/>
      <c r="XFD73"/>
    </row>
    <row r="74" spans="1:20 16374:16384" ht="56.65" customHeight="1" x14ac:dyDescent="0.3">
      <c r="A74" s="11" t="s">
        <v>370</v>
      </c>
      <c r="B74" s="12"/>
      <c r="C74" s="12"/>
      <c r="D74" s="12"/>
      <c r="E74" s="12"/>
      <c r="F74" s="12"/>
      <c r="G74" s="12"/>
      <c r="H74" s="12"/>
      <c r="I74" s="12"/>
      <c r="J74" s="12"/>
      <c r="K74" s="12"/>
      <c r="L74" s="12"/>
      <c r="M74" s="7"/>
      <c r="N74" s="7"/>
      <c r="O74" s="7"/>
      <c r="P74" s="7"/>
      <c r="Q74" s="7"/>
      <c r="R74" s="7"/>
      <c r="S74" s="7"/>
      <c r="T74" s="7"/>
    </row>
    <row r="75" spans="1:20 16374:16384" ht="114.75" x14ac:dyDescent="0.25">
      <c r="A75" s="13" t="s">
        <v>371</v>
      </c>
      <c r="B75" s="12"/>
      <c r="C75" s="12"/>
      <c r="D75" s="12"/>
      <c r="E75" s="12"/>
      <c r="F75" s="12"/>
      <c r="G75" s="12"/>
      <c r="H75" s="12"/>
      <c r="I75" s="12"/>
      <c r="J75" s="12"/>
      <c r="K75" s="12"/>
      <c r="L75" s="12"/>
      <c r="M75" s="7"/>
      <c r="N75" s="7"/>
      <c r="O75" s="7"/>
      <c r="P75" s="7"/>
      <c r="Q75" s="7"/>
      <c r="R75" s="7"/>
      <c r="S75" s="7"/>
      <c r="T75" s="7"/>
    </row>
    <row r="76" spans="1:20 16374:16384" ht="28.35" customHeight="1" x14ac:dyDescent="0.25">
      <c r="A76" s="14" t="s">
        <v>5</v>
      </c>
      <c r="B76" s="16" t="s">
        <v>47</v>
      </c>
      <c r="C76" s="16" t="s">
        <v>372</v>
      </c>
      <c r="D76" s="15" t="s">
        <v>373</v>
      </c>
      <c r="E76" s="17" t="s">
        <v>374</v>
      </c>
      <c r="F76" s="16" t="s">
        <v>375</v>
      </c>
      <c r="G76" s="17" t="s">
        <v>376</v>
      </c>
      <c r="H76" s="17" t="s">
        <v>377</v>
      </c>
      <c r="I76" s="17" t="s">
        <v>378</v>
      </c>
      <c r="J76" s="17" t="s">
        <v>379</v>
      </c>
      <c r="K76" s="17" t="s">
        <v>380</v>
      </c>
      <c r="L76" s="16" t="s">
        <v>381</v>
      </c>
      <c r="M76" s="17" t="s">
        <v>382</v>
      </c>
      <c r="N76" s="15" t="s">
        <v>383</v>
      </c>
      <c r="O76" s="15" t="s">
        <v>384</v>
      </c>
      <c r="P76" s="16" t="s">
        <v>385</v>
      </c>
      <c r="Q76" s="17" t="s">
        <v>386</v>
      </c>
      <c r="R76" s="17" t="s">
        <v>387</v>
      </c>
      <c r="S76" s="7"/>
      <c r="T76" s="7"/>
    </row>
    <row r="77" spans="1:20 16374:16384" ht="28.35" customHeight="1" x14ac:dyDescent="0.25">
      <c r="A77" s="14" t="s">
        <v>14</v>
      </c>
      <c r="B77" s="16" t="s">
        <v>66</v>
      </c>
      <c r="C77" s="16" t="s">
        <v>388</v>
      </c>
      <c r="D77" s="15" t="s">
        <v>389</v>
      </c>
      <c r="E77" s="17" t="s">
        <v>390</v>
      </c>
      <c r="F77" s="16" t="s">
        <v>391</v>
      </c>
      <c r="G77" s="17" t="s">
        <v>392</v>
      </c>
      <c r="H77" s="17" t="s">
        <v>393</v>
      </c>
      <c r="I77" s="17" t="s">
        <v>394</v>
      </c>
      <c r="J77" s="17" t="s">
        <v>395</v>
      </c>
      <c r="K77" s="17" t="s">
        <v>396</v>
      </c>
      <c r="L77" s="16" t="s">
        <v>397</v>
      </c>
      <c r="M77" s="17" t="s">
        <v>398</v>
      </c>
      <c r="N77" s="15" t="s">
        <v>399</v>
      </c>
      <c r="O77" s="15" t="s">
        <v>400</v>
      </c>
      <c r="P77" s="16" t="s">
        <v>401</v>
      </c>
      <c r="Q77" s="17" t="s">
        <v>402</v>
      </c>
      <c r="R77" s="17" t="s">
        <v>403</v>
      </c>
      <c r="S77" s="7"/>
      <c r="T77" s="7"/>
    </row>
    <row r="78" spans="1:20 16374:16384" s="22" customFormat="1" ht="114.75" x14ac:dyDescent="0.25">
      <c r="A78" s="17" t="s">
        <v>23</v>
      </c>
      <c r="B78" s="19" t="s">
        <v>404</v>
      </c>
      <c r="C78" s="19" t="s">
        <v>405</v>
      </c>
      <c r="D78" s="19" t="s">
        <v>406</v>
      </c>
      <c r="E78" s="19" t="s">
        <v>407</v>
      </c>
      <c r="F78" s="19" t="s">
        <v>408</v>
      </c>
      <c r="G78" s="19" t="s">
        <v>409</v>
      </c>
      <c r="H78" s="19" t="s">
        <v>410</v>
      </c>
      <c r="I78" s="19" t="s">
        <v>411</v>
      </c>
      <c r="J78" s="19" t="s">
        <v>412</v>
      </c>
      <c r="K78" s="19" t="s">
        <v>413</v>
      </c>
      <c r="L78" s="19" t="s">
        <v>414</v>
      </c>
      <c r="M78" s="19" t="s">
        <v>415</v>
      </c>
      <c r="N78" s="25" t="s">
        <v>416</v>
      </c>
      <c r="O78" s="25" t="s">
        <v>417</v>
      </c>
      <c r="P78" s="25" t="s">
        <v>418</v>
      </c>
      <c r="Q78" s="25" t="s">
        <v>419</v>
      </c>
      <c r="R78" s="25" t="s">
        <v>420</v>
      </c>
      <c r="S78" s="21"/>
      <c r="T78" s="21"/>
      <c r="XET78"/>
      <c r="XEU78"/>
      <c r="XEV78"/>
      <c r="XEW78"/>
      <c r="XEX78"/>
      <c r="XEY78"/>
      <c r="XEZ78"/>
      <c r="XFA78"/>
      <c r="XFB78"/>
      <c r="XFC78"/>
      <c r="XFD78"/>
    </row>
    <row r="79" spans="1:20 16374:16384" s="22" customFormat="1" ht="180" x14ac:dyDescent="0.25">
      <c r="A79" s="17" t="s">
        <v>32</v>
      </c>
      <c r="B79" s="19" t="s">
        <v>145</v>
      </c>
      <c r="C79" s="19" t="s">
        <v>421</v>
      </c>
      <c r="D79" s="19" t="s">
        <v>422</v>
      </c>
      <c r="E79" s="23" t="s">
        <v>423</v>
      </c>
      <c r="F79" s="23" t="s">
        <v>424</v>
      </c>
      <c r="G79" s="19" t="s">
        <v>425</v>
      </c>
      <c r="H79" s="19" t="s">
        <v>426</v>
      </c>
      <c r="I79" s="19" t="s">
        <v>427</v>
      </c>
      <c r="J79" s="19" t="s">
        <v>428</v>
      </c>
      <c r="K79" s="19" t="s">
        <v>429</v>
      </c>
      <c r="L79" s="19" t="s">
        <v>430</v>
      </c>
      <c r="M79" s="19" t="s">
        <v>431</v>
      </c>
      <c r="N79" s="25" t="s">
        <v>432</v>
      </c>
      <c r="O79" s="25" t="s">
        <v>433</v>
      </c>
      <c r="P79" s="25" t="s">
        <v>434</v>
      </c>
      <c r="Q79" s="25" t="s">
        <v>435</v>
      </c>
      <c r="R79" s="25" t="s">
        <v>436</v>
      </c>
      <c r="S79" s="21"/>
      <c r="T79" s="21"/>
      <c r="XET79"/>
      <c r="XEU79"/>
      <c r="XEV79"/>
      <c r="XEW79"/>
      <c r="XEX79"/>
      <c r="XEY79"/>
      <c r="XEZ79"/>
      <c r="XFA79"/>
      <c r="XFB79"/>
      <c r="XFC79"/>
      <c r="XFD79"/>
    </row>
    <row r="80" spans="1:20 16374:16384" s="22" customFormat="1" ht="25.5" x14ac:dyDescent="0.25">
      <c r="A80" s="17" t="s">
        <v>38</v>
      </c>
      <c r="B80" s="19" t="s">
        <v>151</v>
      </c>
      <c r="C80" s="19" t="s">
        <v>39</v>
      </c>
      <c r="D80" s="19" t="s">
        <v>41</v>
      </c>
      <c r="E80" s="19" t="s">
        <v>437</v>
      </c>
      <c r="F80" s="19" t="s">
        <v>41</v>
      </c>
      <c r="G80" s="19" t="s">
        <v>41</v>
      </c>
      <c r="H80" s="19" t="s">
        <v>438</v>
      </c>
      <c r="I80" s="19" t="s">
        <v>41</v>
      </c>
      <c r="J80" s="19" t="s">
        <v>438</v>
      </c>
      <c r="K80" s="19" t="s">
        <v>438</v>
      </c>
      <c r="L80" s="19" t="s">
        <v>41</v>
      </c>
      <c r="M80" s="19" t="s">
        <v>438</v>
      </c>
      <c r="N80" s="25" t="s">
        <v>41</v>
      </c>
      <c r="O80" s="25" t="s">
        <v>439</v>
      </c>
      <c r="P80" s="25" t="s">
        <v>39</v>
      </c>
      <c r="Q80" s="25" t="s">
        <v>437</v>
      </c>
      <c r="R80" s="25" t="s">
        <v>41</v>
      </c>
      <c r="S80" s="21"/>
      <c r="T80" s="21"/>
      <c r="XET80"/>
      <c r="XEU80"/>
      <c r="XEV80"/>
      <c r="XEW80"/>
      <c r="XEX80"/>
      <c r="XEY80"/>
      <c r="XEZ80"/>
      <c r="XFA80"/>
      <c r="XFB80"/>
      <c r="XFC80"/>
      <c r="XFD80"/>
    </row>
    <row r="81" spans="1:20" ht="56.65" customHeight="1" x14ac:dyDescent="0.3">
      <c r="A81" s="34" t="s">
        <v>440</v>
      </c>
      <c r="B81" s="12"/>
      <c r="C81" s="12"/>
      <c r="D81" s="12"/>
      <c r="E81" s="12"/>
      <c r="F81" s="12"/>
      <c r="G81" s="12"/>
      <c r="H81" s="12"/>
      <c r="I81" s="12"/>
      <c r="J81" s="12"/>
      <c r="K81" s="12"/>
      <c r="L81" s="12"/>
      <c r="M81" s="7"/>
      <c r="N81" s="7"/>
      <c r="O81" s="7"/>
      <c r="P81" s="7"/>
      <c r="Q81" s="7"/>
      <c r="R81" s="7"/>
      <c r="S81" s="7"/>
      <c r="T81" s="7"/>
    </row>
    <row r="82" spans="1:20" ht="15.75" x14ac:dyDescent="0.25">
      <c r="A82" s="35" t="s">
        <v>441</v>
      </c>
      <c r="B82" s="12"/>
      <c r="C82" s="12"/>
      <c r="D82" s="12"/>
      <c r="E82" s="12"/>
      <c r="F82" s="12"/>
      <c r="G82" s="12"/>
      <c r="H82" s="12"/>
      <c r="I82" s="12"/>
      <c r="J82" s="12"/>
      <c r="K82" s="12"/>
      <c r="L82" s="12"/>
      <c r="M82" s="7"/>
      <c r="N82" s="7"/>
      <c r="O82" s="7"/>
      <c r="P82" s="7"/>
      <c r="Q82" s="7"/>
      <c r="R82" s="7"/>
      <c r="S82" s="7"/>
      <c r="T82" s="7"/>
    </row>
    <row r="83" spans="1:20" ht="56.65" customHeight="1" x14ac:dyDescent="0.3">
      <c r="A83" s="34" t="s">
        <v>442</v>
      </c>
      <c r="B83" s="12"/>
      <c r="C83" s="12"/>
      <c r="D83" s="12"/>
      <c r="E83" s="12"/>
      <c r="F83" s="12"/>
      <c r="G83" s="12"/>
      <c r="H83" s="12"/>
      <c r="I83" s="12"/>
      <c r="J83" s="12"/>
      <c r="K83" s="12"/>
      <c r="L83" s="12"/>
      <c r="M83" s="7"/>
      <c r="N83" s="7"/>
      <c r="O83" s="7"/>
      <c r="P83" s="7"/>
      <c r="Q83" s="7"/>
      <c r="R83" s="7"/>
      <c r="S83" s="7"/>
      <c r="T83" s="7"/>
    </row>
    <row r="84" spans="1:20" ht="15.75" x14ac:dyDescent="0.25">
      <c r="A84" s="6" t="s">
        <v>443</v>
      </c>
      <c r="B84" s="12"/>
      <c r="C84" s="12"/>
      <c r="D84" s="12"/>
      <c r="E84" s="12"/>
      <c r="F84" s="12"/>
      <c r="G84" s="12"/>
      <c r="H84" s="12"/>
      <c r="I84" s="12"/>
      <c r="J84" s="12"/>
      <c r="K84" s="12"/>
      <c r="L84" s="12"/>
      <c r="M84" s="7"/>
      <c r="N84" s="7"/>
      <c r="O84" s="7"/>
      <c r="P84" s="7"/>
      <c r="Q84" s="7"/>
      <c r="R84" s="7"/>
      <c r="S84" s="7"/>
      <c r="T84" s="7"/>
    </row>
    <row r="85" spans="1:20" ht="15.75" customHeight="1" x14ac:dyDescent="0.25"/>
    <row r="86" spans="1:20" ht="15.75" customHeight="1" x14ac:dyDescent="0.25"/>
    <row r="87" spans="1:20" ht="15.75" customHeight="1" x14ac:dyDescent="0.25"/>
    <row r="88" spans="1:20" ht="15.75" customHeight="1" x14ac:dyDescent="0.25"/>
    <row r="89" spans="1:20" ht="15.75" customHeight="1" x14ac:dyDescent="0.25"/>
    <row r="90" spans="1:20" ht="15.75" customHeight="1" x14ac:dyDescent="0.25"/>
    <row r="91" spans="1:20" ht="15.75" customHeight="1" x14ac:dyDescent="0.25"/>
    <row r="92" spans="1:20" ht="15.75" customHeight="1" x14ac:dyDescent="0.25"/>
    <row r="93" spans="1:20" ht="15.75" customHeight="1" x14ac:dyDescent="0.25"/>
    <row r="94" spans="1:20" ht="15.75" customHeight="1" x14ac:dyDescent="0.25"/>
    <row r="95" spans="1:20" ht="15.75" customHeight="1" x14ac:dyDescent="0.25"/>
    <row r="96" spans="1:20"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703125" defaultRowHeight="15" x14ac:dyDescent="0.25"/>
  <cols>
    <col min="1" max="2" width="20.42578125" customWidth="1"/>
    <col min="3" max="3" width="23.28515625" customWidth="1"/>
    <col min="4" max="7" width="20.42578125" customWidth="1"/>
    <col min="8" max="8" width="21.5703125" customWidth="1"/>
    <col min="16231" max="16384" width="11.42578125" customWidth="1"/>
  </cols>
  <sheetData>
    <row r="1" spans="1:8" ht="25.5" customHeight="1" x14ac:dyDescent="0.25">
      <c r="A1" s="51" t="s">
        <v>15</v>
      </c>
      <c r="B1" s="52" t="s">
        <v>16</v>
      </c>
      <c r="C1" s="51" t="s">
        <v>17</v>
      </c>
      <c r="D1" s="53" t="s">
        <v>18</v>
      </c>
      <c r="E1" s="53" t="s">
        <v>19</v>
      </c>
      <c r="F1" s="51" t="s">
        <v>20</v>
      </c>
      <c r="G1" s="52" t="s">
        <v>21</v>
      </c>
      <c r="H1" s="53" t="s">
        <v>22</v>
      </c>
    </row>
    <row r="2" spans="1:8" ht="15.75" customHeight="1" x14ac:dyDescent="0.25">
      <c r="A2" s="30"/>
      <c r="B2" s="13"/>
      <c r="C2" s="13"/>
      <c r="D2" s="30"/>
      <c r="E2" s="13"/>
      <c r="F2" s="13"/>
      <c r="G2" s="30"/>
      <c r="H2" s="13"/>
    </row>
    <row r="3" spans="1:8" ht="15.75" customHeight="1" x14ac:dyDescent="0.25"/>
    <row r="4" spans="1:8" ht="15.75" customHeight="1" x14ac:dyDescent="0.25"/>
    <row r="5" spans="1:8" ht="15.75" customHeight="1" x14ac:dyDescent="0.25"/>
    <row r="6" spans="1:8" ht="15.75" customHeight="1" x14ac:dyDescent="0.25"/>
    <row r="7" spans="1:8" ht="15.75" customHeight="1" x14ac:dyDescent="0.25"/>
    <row r="8" spans="1:8" ht="15.75" customHeight="1" x14ac:dyDescent="0.25"/>
    <row r="9" spans="1:8" ht="15.75" customHeight="1" x14ac:dyDescent="0.25"/>
    <row r="10" spans="1:8" ht="15.75" customHeight="1" x14ac:dyDescent="0.25"/>
    <row r="11" spans="1:8" ht="15.75" customHeight="1" x14ac:dyDescent="0.25"/>
    <row r="12" spans="1:8" ht="15.75" customHeight="1" x14ac:dyDescent="0.25"/>
    <row r="13" spans="1:8" ht="15.75" customHeight="1" x14ac:dyDescent="0.25"/>
    <row r="14" spans="1:8" ht="15.75" customHeight="1" x14ac:dyDescent="0.25"/>
    <row r="15" spans="1:8" ht="15.75" customHeight="1" x14ac:dyDescent="0.25"/>
    <row r="16" spans="1:8"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1048567" ht="12.75" customHeight="1" x14ac:dyDescent="0.25"/>
    <row r="1048568" ht="12.75" customHeight="1" x14ac:dyDescent="0.25"/>
    <row r="1048569" ht="12.75" customHeight="1" x14ac:dyDescent="0.25"/>
    <row r="1048570" ht="12.75" customHeight="1" x14ac:dyDescent="0.25"/>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T977"/>
  <sheetViews>
    <sheetView topLeftCell="H1" zoomScaleNormal="100" workbookViewId="0">
      <selection activeCell="T1" sqref="T1"/>
    </sheetView>
  </sheetViews>
  <sheetFormatPr defaultColWidth="14.5703125" defaultRowHeight="15" x14ac:dyDescent="0.25"/>
  <cols>
    <col min="1" max="13" width="20.42578125" customWidth="1"/>
    <col min="14" max="14" width="22.140625" customWidth="1"/>
    <col min="15" max="19" width="20.42578125" customWidth="1"/>
    <col min="16315" max="16384" width="11.42578125" customWidth="1"/>
  </cols>
  <sheetData>
    <row r="1" spans="1:20" ht="25.5" customHeight="1" x14ac:dyDescent="0.25">
      <c r="A1" s="52" t="s">
        <v>66</v>
      </c>
      <c r="B1" s="66" t="s">
        <v>701</v>
      </c>
      <c r="C1" s="52" t="s">
        <v>67</v>
      </c>
      <c r="D1" s="51" t="s">
        <v>68</v>
      </c>
      <c r="E1" s="52" t="s">
        <v>69</v>
      </c>
      <c r="F1" s="51" t="s">
        <v>70</v>
      </c>
      <c r="G1" s="52" t="s">
        <v>71</v>
      </c>
      <c r="H1" s="52" t="s">
        <v>72</v>
      </c>
      <c r="I1" s="52" t="s">
        <v>73</v>
      </c>
      <c r="J1" s="51" t="s">
        <v>74</v>
      </c>
      <c r="K1" s="51" t="s">
        <v>75</v>
      </c>
      <c r="L1" s="51" t="s">
        <v>76</v>
      </c>
      <c r="M1" s="52" t="s">
        <v>77</v>
      </c>
      <c r="N1" s="53" t="s">
        <v>78</v>
      </c>
      <c r="O1" s="53" t="s">
        <v>79</v>
      </c>
      <c r="P1" s="52" t="s">
        <v>80</v>
      </c>
      <c r="Q1" s="52" t="s">
        <v>81</v>
      </c>
      <c r="R1" s="51" t="s">
        <v>82</v>
      </c>
      <c r="S1" s="53" t="s">
        <v>83</v>
      </c>
      <c r="T1" s="53" t="s">
        <v>84</v>
      </c>
    </row>
    <row r="2" spans="1:20" ht="15.75" customHeight="1" x14ac:dyDescent="0.25">
      <c r="A2" s="30" t="s">
        <v>671</v>
      </c>
      <c r="B2" s="30"/>
      <c r="C2" s="13"/>
      <c r="D2" s="13"/>
      <c r="E2" s="30"/>
      <c r="F2" s="13"/>
      <c r="G2" s="13"/>
      <c r="H2" s="30"/>
      <c r="I2" s="13"/>
      <c r="J2" s="13"/>
      <c r="K2" s="30"/>
      <c r="L2" s="13"/>
      <c r="M2" s="13"/>
      <c r="N2" s="30"/>
      <c r="O2" s="13"/>
      <c r="P2" s="13"/>
      <c r="Q2" s="30"/>
      <c r="R2" s="13"/>
      <c r="S2" s="13"/>
      <c r="T2" s="30"/>
    </row>
    <row r="3" spans="1:20" ht="15.75" customHeight="1" x14ac:dyDescent="0.25">
      <c r="A3" s="30" t="s">
        <v>672</v>
      </c>
      <c r="B3" s="30"/>
      <c r="C3" s="13"/>
      <c r="D3" s="13"/>
      <c r="E3" s="30"/>
      <c r="F3" s="13"/>
      <c r="G3" s="13"/>
      <c r="H3" s="30"/>
      <c r="I3" s="13"/>
      <c r="J3" s="13"/>
      <c r="K3" s="30"/>
      <c r="L3" s="13"/>
      <c r="M3" s="13"/>
      <c r="N3" s="30"/>
      <c r="O3" s="13"/>
      <c r="P3" s="13"/>
      <c r="Q3" s="30"/>
      <c r="R3" s="13"/>
      <c r="S3" s="13"/>
      <c r="T3" s="30"/>
    </row>
    <row r="4" spans="1:20" ht="15.75" customHeight="1" x14ac:dyDescent="0.25">
      <c r="A4" s="7"/>
      <c r="B4" s="7"/>
      <c r="C4" s="7"/>
      <c r="D4" s="7"/>
      <c r="E4" s="7"/>
      <c r="F4" s="7"/>
      <c r="G4" s="7"/>
      <c r="H4" s="7"/>
      <c r="I4" s="7"/>
      <c r="J4" s="7"/>
      <c r="K4" s="7"/>
      <c r="L4" s="7"/>
      <c r="M4" s="7"/>
      <c r="N4" s="7"/>
      <c r="O4" s="7"/>
      <c r="P4" s="7"/>
      <c r="Q4" s="7"/>
      <c r="R4" s="7"/>
      <c r="S4" s="7"/>
    </row>
    <row r="5" spans="1:20" ht="15.75" customHeight="1" x14ac:dyDescent="0.25">
      <c r="A5" s="7"/>
      <c r="B5" s="7"/>
      <c r="C5" s="7"/>
      <c r="D5" s="7"/>
      <c r="E5" s="7"/>
      <c r="F5" s="7"/>
      <c r="G5" s="7"/>
      <c r="H5" s="7"/>
      <c r="I5" s="7"/>
      <c r="J5" s="7"/>
      <c r="K5" s="7"/>
      <c r="L5" s="7"/>
      <c r="M5" s="7"/>
      <c r="N5" s="7"/>
      <c r="O5" s="7"/>
      <c r="P5" s="7"/>
      <c r="Q5" s="7"/>
      <c r="R5" s="7"/>
      <c r="S5" s="7"/>
    </row>
    <row r="6" spans="1:20" ht="15.75" customHeight="1" x14ac:dyDescent="0.25">
      <c r="A6" s="7"/>
      <c r="B6" s="7"/>
      <c r="C6" s="7"/>
      <c r="D6" s="7"/>
      <c r="E6" s="7"/>
      <c r="F6" s="7"/>
      <c r="G6" s="7"/>
      <c r="H6" s="7"/>
      <c r="I6" s="7"/>
      <c r="J6" s="7"/>
      <c r="K6" s="7"/>
      <c r="L6" s="7"/>
      <c r="M6" s="7"/>
      <c r="N6" s="7"/>
      <c r="O6" s="7"/>
      <c r="P6" s="7"/>
      <c r="Q6" s="7"/>
      <c r="R6" s="7"/>
      <c r="S6" s="7"/>
    </row>
    <row r="7" spans="1:20" ht="15.75" customHeight="1" x14ac:dyDescent="0.25">
      <c r="A7" s="7"/>
      <c r="B7" s="7"/>
      <c r="C7" s="7"/>
      <c r="D7" s="7"/>
      <c r="E7" s="7"/>
      <c r="F7" s="7"/>
      <c r="G7" s="7"/>
      <c r="H7" s="7"/>
      <c r="I7" s="7"/>
      <c r="J7" s="7"/>
      <c r="K7" s="7"/>
      <c r="L7" s="7"/>
      <c r="M7" s="7"/>
      <c r="N7" s="7"/>
      <c r="O7" s="7"/>
      <c r="P7" s="7"/>
      <c r="Q7" s="7"/>
      <c r="R7" s="7"/>
      <c r="S7" s="7"/>
    </row>
    <row r="8" spans="1:20" ht="15.75" customHeight="1" x14ac:dyDescent="0.25">
      <c r="A8" s="7"/>
      <c r="B8" s="7"/>
      <c r="C8" s="7"/>
      <c r="D8" s="7"/>
      <c r="E8" s="7"/>
      <c r="F8" s="7"/>
      <c r="G8" s="7"/>
      <c r="H8" s="7"/>
      <c r="I8" s="7"/>
      <c r="J8" s="7"/>
      <c r="K8" s="7"/>
      <c r="L8" s="7"/>
      <c r="M8" s="7"/>
      <c r="N8" s="7"/>
      <c r="O8" s="7"/>
      <c r="P8" s="7"/>
      <c r="Q8" s="7"/>
      <c r="R8" s="7"/>
      <c r="S8" s="7"/>
    </row>
    <row r="9" spans="1:20" ht="15.75" customHeight="1" x14ac:dyDescent="0.25"/>
    <row r="10" spans="1:20" ht="15.75" customHeight="1" x14ac:dyDescent="0.25"/>
    <row r="11" spans="1:20" ht="15.75" customHeight="1" x14ac:dyDescent="0.25"/>
    <row r="12" spans="1:20" ht="15.75" customHeight="1" x14ac:dyDescent="0.25"/>
    <row r="13" spans="1:20" ht="15.75" customHeight="1" x14ac:dyDescent="0.25"/>
    <row r="14" spans="1:20" ht="15.75" customHeight="1" x14ac:dyDescent="0.25"/>
    <row r="15" spans="1:20" ht="15.75" customHeight="1" x14ac:dyDescent="0.25"/>
    <row r="16" spans="1:20"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sheetData>
  <dataValidations count="1">
    <dataValidation type="list" allowBlank="1" showInputMessage="1" showErrorMessage="1" sqref="B2:B3" xr:uid="{8325CA2E-9AEF-4B88-A4C2-C6DFDAD87C2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703125" defaultRowHeight="15" x14ac:dyDescent="0.25"/>
  <cols>
    <col min="1" max="6" width="20.42578125" customWidth="1"/>
    <col min="16383" max="16383" width="11.42578125" customWidth="1"/>
    <col min="16384" max="16384" width="11.5703125" customWidth="1"/>
  </cols>
  <sheetData>
    <row r="1" spans="1:6" ht="25.5" customHeight="1" x14ac:dyDescent="0.25">
      <c r="A1" s="51" t="s">
        <v>66</v>
      </c>
      <c r="B1" s="52" t="s">
        <v>134</v>
      </c>
      <c r="C1" s="53" t="s">
        <v>135</v>
      </c>
      <c r="D1" s="51" t="s">
        <v>136</v>
      </c>
      <c r="E1" s="52" t="s">
        <v>137</v>
      </c>
      <c r="F1" s="52" t="s">
        <v>138</v>
      </c>
    </row>
    <row r="2" spans="1:6" ht="15" customHeight="1" x14ac:dyDescent="0.25">
      <c r="A2" s="30"/>
      <c r="B2" s="13"/>
      <c r="C2" s="13"/>
      <c r="D2" s="30"/>
      <c r="E2" s="13"/>
      <c r="F2" s="13"/>
    </row>
    <row r="3" spans="1:6" x14ac:dyDescent="0.25">
      <c r="A3" s="7"/>
      <c r="B3" s="7"/>
      <c r="C3" s="7"/>
      <c r="D3" s="7"/>
      <c r="E3" s="7"/>
      <c r="F3" s="7"/>
    </row>
    <row r="4" spans="1:6" x14ac:dyDescent="0.25">
      <c r="A4" s="7"/>
      <c r="B4" s="7"/>
      <c r="C4" s="7"/>
      <c r="D4" s="7"/>
      <c r="E4" s="7"/>
      <c r="F4" s="7"/>
    </row>
    <row r="5" spans="1:6" x14ac:dyDescent="0.25">
      <c r="A5" s="7"/>
      <c r="B5" s="7"/>
      <c r="C5" s="7"/>
      <c r="D5" s="7"/>
      <c r="E5" s="7"/>
      <c r="F5" s="7"/>
    </row>
    <row r="6" spans="1:6" x14ac:dyDescent="0.25">
      <c r="A6" s="7"/>
      <c r="B6" s="7"/>
      <c r="C6" s="7"/>
      <c r="D6" s="7"/>
      <c r="E6" s="7"/>
      <c r="F6" s="7"/>
    </row>
    <row r="7" spans="1:6" x14ac:dyDescent="0.25">
      <c r="A7" s="7"/>
      <c r="B7" s="7"/>
      <c r="C7" s="7"/>
      <c r="D7" s="7"/>
      <c r="E7" s="7"/>
      <c r="F7" s="7"/>
    </row>
    <row r="8" spans="1:6" x14ac:dyDescent="0.25">
      <c r="A8" s="7"/>
      <c r="B8" s="7"/>
      <c r="C8" s="7"/>
      <c r="D8" s="7"/>
      <c r="E8" s="7"/>
      <c r="F8" s="7"/>
    </row>
    <row r="10" spans="1:6" ht="15.75" customHeight="1" x14ac:dyDescent="0.25"/>
    <row r="11" spans="1:6" ht="15.75" customHeight="1" x14ac:dyDescent="0.25"/>
    <row r="12" spans="1:6" ht="15.75" customHeight="1" x14ac:dyDescent="0.25"/>
    <row r="13" spans="1:6" ht="15.75" customHeight="1" x14ac:dyDescent="0.25"/>
    <row r="14" spans="1:6" ht="15.75" customHeight="1" x14ac:dyDescent="0.25"/>
    <row r="15" spans="1:6" ht="15.75" customHeight="1" x14ac:dyDescent="0.25"/>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Y997"/>
  <sheetViews>
    <sheetView tabSelected="1" zoomScaleNormal="100" workbookViewId="0">
      <selection activeCell="J15" sqref="J15"/>
    </sheetView>
  </sheetViews>
  <sheetFormatPr defaultColWidth="14.5703125" defaultRowHeight="15" x14ac:dyDescent="0.25"/>
  <cols>
    <col min="1" max="5" width="20.42578125" customWidth="1"/>
    <col min="16384" max="16384" width="11.42578125" customWidth="1"/>
  </cols>
  <sheetData>
    <row r="1" spans="1:25" ht="25.5" customHeight="1" x14ac:dyDescent="0.25">
      <c r="A1" s="52" t="s">
        <v>66</v>
      </c>
      <c r="B1" s="52" t="s">
        <v>159</v>
      </c>
      <c r="C1" s="52" t="s">
        <v>160</v>
      </c>
      <c r="D1" s="52" t="s">
        <v>703</v>
      </c>
      <c r="E1" s="52" t="s">
        <v>161</v>
      </c>
      <c r="F1" s="36"/>
      <c r="G1" s="36"/>
      <c r="H1" s="36"/>
      <c r="I1" s="36"/>
      <c r="J1" s="36"/>
      <c r="K1" s="36"/>
      <c r="L1" s="36"/>
      <c r="M1" s="36"/>
      <c r="N1" s="36"/>
      <c r="O1" s="36"/>
      <c r="P1" s="36"/>
      <c r="Q1" s="36"/>
      <c r="R1" s="36"/>
      <c r="S1" s="36"/>
      <c r="T1" s="36"/>
      <c r="U1" s="36"/>
      <c r="V1" s="36"/>
      <c r="W1" s="36"/>
      <c r="X1" s="36"/>
      <c r="Y1" s="36"/>
    </row>
    <row r="2" spans="1:25" ht="15" customHeight="1" x14ac:dyDescent="0.25">
      <c r="A2" s="30"/>
      <c r="B2" s="13"/>
      <c r="C2" s="13"/>
      <c r="D2" s="13"/>
      <c r="E2" s="13"/>
    </row>
    <row r="3" spans="1:25" x14ac:dyDescent="0.25">
      <c r="A3" s="7"/>
      <c r="B3" s="7"/>
      <c r="C3" s="7"/>
      <c r="D3" s="7"/>
      <c r="E3" s="7"/>
    </row>
    <row r="4" spans="1:25" ht="15.75" customHeight="1" x14ac:dyDescent="0.25">
      <c r="A4" s="7"/>
      <c r="B4" s="7"/>
      <c r="C4" s="7"/>
      <c r="D4" s="7"/>
      <c r="E4" s="7"/>
    </row>
    <row r="5" spans="1:25" ht="15.75" customHeight="1" x14ac:dyDescent="0.25">
      <c r="A5" s="7"/>
      <c r="B5" s="7"/>
      <c r="C5" s="7"/>
      <c r="D5" s="7"/>
      <c r="E5" s="7"/>
    </row>
    <row r="6" spans="1:25" ht="15.75" customHeight="1" x14ac:dyDescent="0.25">
      <c r="A6" s="7"/>
      <c r="B6" s="7"/>
      <c r="C6" s="7"/>
      <c r="D6" s="7"/>
      <c r="E6" s="7"/>
    </row>
    <row r="7" spans="1:25" ht="15.75" customHeight="1" x14ac:dyDescent="0.25">
      <c r="A7" s="7"/>
      <c r="B7" s="7"/>
      <c r="C7" s="7"/>
      <c r="D7" s="7"/>
      <c r="E7" s="7"/>
    </row>
    <row r="8" spans="1:25" ht="15.75" customHeight="1" x14ac:dyDescent="0.25">
      <c r="A8" s="7"/>
      <c r="B8" s="7"/>
      <c r="C8" s="7"/>
      <c r="D8" s="7"/>
      <c r="E8" s="7"/>
    </row>
    <row r="9" spans="1:25" ht="15.75" customHeight="1" x14ac:dyDescent="0.25"/>
    <row r="10" spans="1:25" ht="15.75" customHeight="1" x14ac:dyDescent="0.25"/>
    <row r="11" spans="1:25" ht="15.75" customHeight="1" x14ac:dyDescent="0.25"/>
    <row r="12" spans="1:25" ht="15.75" customHeight="1" x14ac:dyDescent="0.25"/>
    <row r="13" spans="1:25" ht="15.75" customHeight="1" x14ac:dyDescent="0.25"/>
    <row r="14" spans="1:25" ht="15.75" customHeight="1" x14ac:dyDescent="0.25"/>
    <row r="15" spans="1:25" ht="15.75" customHeight="1" x14ac:dyDescent="0.25"/>
    <row r="16" spans="1:25"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8"/>
  <sheetViews>
    <sheetView zoomScaleNormal="100" workbookViewId="0">
      <selection activeCell="G25" sqref="G25"/>
    </sheetView>
  </sheetViews>
  <sheetFormatPr defaultColWidth="14.5703125" defaultRowHeight="15" x14ac:dyDescent="0.25"/>
  <cols>
    <col min="1" max="1" width="11.42578125" bestFit="1" customWidth="1"/>
    <col min="2" max="2" width="19.85546875" customWidth="1"/>
    <col min="3" max="3" width="22.5703125" customWidth="1"/>
    <col min="4" max="4" width="10.7109375" customWidth="1"/>
    <col min="5" max="5" width="7.85546875" customWidth="1"/>
    <col min="6" max="6" width="9.140625" customWidth="1"/>
    <col min="7" max="7" width="18.140625" customWidth="1"/>
    <col min="8" max="8" width="25.28515625" customWidth="1"/>
    <col min="9" max="9" width="26.85546875" customWidth="1"/>
    <col min="10" max="10" width="24.85546875" customWidth="1"/>
    <col min="11" max="11" width="33.140625" customWidth="1"/>
    <col min="12" max="12" width="30.42578125" customWidth="1"/>
    <col min="13" max="13" width="17.5703125" customWidth="1"/>
    <col min="14" max="14" width="18.85546875" customWidth="1"/>
    <col min="15" max="15" width="25.85546875" customWidth="1"/>
    <col min="16" max="16" width="24.140625" customWidth="1"/>
    <col min="17" max="17" width="23.42578125" customWidth="1"/>
    <col min="18" max="18" width="24" customWidth="1"/>
    <col min="19" max="19" width="23.140625" customWidth="1"/>
    <col min="20" max="20" width="23" customWidth="1"/>
    <col min="21" max="21" width="24.5703125" customWidth="1"/>
    <col min="22" max="22" width="22.5703125" customWidth="1"/>
    <col min="23" max="23" width="30.85546875" customWidth="1"/>
    <col min="24" max="24" width="20.140625" customWidth="1"/>
    <col min="16384" max="16384" width="11.42578125" customWidth="1"/>
  </cols>
  <sheetData>
    <row r="1" spans="1:24" s="37" customFormat="1" x14ac:dyDescent="0.25">
      <c r="A1" s="54" t="s">
        <v>66</v>
      </c>
      <c r="B1" s="54" t="s">
        <v>195</v>
      </c>
      <c r="C1" s="55" t="s">
        <v>196</v>
      </c>
      <c r="D1" s="55" t="s">
        <v>197</v>
      </c>
      <c r="E1" s="55" t="s">
        <v>198</v>
      </c>
      <c r="F1" s="55" t="s">
        <v>199</v>
      </c>
      <c r="G1" s="55" t="s">
        <v>200</v>
      </c>
      <c r="H1" s="56" t="s">
        <v>201</v>
      </c>
      <c r="I1" s="56" t="s">
        <v>202</v>
      </c>
      <c r="J1" s="56" t="s">
        <v>203</v>
      </c>
      <c r="K1" s="56" t="s">
        <v>204</v>
      </c>
      <c r="L1" s="56" t="s">
        <v>205</v>
      </c>
      <c r="M1" s="55" t="s">
        <v>206</v>
      </c>
      <c r="N1" s="55" t="s">
        <v>207</v>
      </c>
      <c r="O1" s="56" t="s">
        <v>208</v>
      </c>
      <c r="P1" s="56" t="s">
        <v>209</v>
      </c>
      <c r="Q1" s="56" t="s">
        <v>210</v>
      </c>
      <c r="R1" s="56" t="s">
        <v>211</v>
      </c>
      <c r="S1" s="56" t="s">
        <v>212</v>
      </c>
      <c r="T1" s="56" t="s">
        <v>213</v>
      </c>
      <c r="U1" s="56" t="s">
        <v>214</v>
      </c>
      <c r="V1" s="56" t="s">
        <v>215</v>
      </c>
      <c r="W1" s="56" t="s">
        <v>216</v>
      </c>
      <c r="X1" s="56" t="s">
        <v>217</v>
      </c>
    </row>
    <row r="2" spans="1:24" x14ac:dyDescent="0.25">
      <c r="A2" s="57"/>
      <c r="B2" s="58"/>
      <c r="C2" s="58"/>
      <c r="D2" s="57"/>
      <c r="E2" s="58"/>
      <c r="F2" s="58"/>
      <c r="G2" s="57"/>
      <c r="H2" s="58"/>
      <c r="I2" s="58"/>
      <c r="J2" s="57"/>
      <c r="K2" s="58"/>
      <c r="L2" s="58"/>
      <c r="M2" s="57"/>
      <c r="N2" s="58"/>
      <c r="O2" s="58"/>
      <c r="P2" s="57"/>
      <c r="Q2" s="58"/>
      <c r="R2" s="58"/>
      <c r="S2" s="58"/>
      <c r="T2" s="58"/>
      <c r="U2" s="58"/>
      <c r="V2" s="58"/>
      <c r="W2" s="58"/>
      <c r="X2" s="58"/>
    </row>
    <row r="3" spans="1:24" x14ac:dyDescent="0.25">
      <c r="A3" s="7"/>
      <c r="B3" s="7"/>
      <c r="C3" s="7"/>
      <c r="D3" s="7"/>
      <c r="E3" s="7"/>
      <c r="F3" s="7"/>
      <c r="G3" s="7"/>
      <c r="H3" s="7"/>
      <c r="I3" s="7"/>
      <c r="J3" s="7"/>
      <c r="K3" s="7"/>
      <c r="L3" s="7"/>
      <c r="M3" s="7"/>
      <c r="N3" s="7"/>
      <c r="O3" s="7"/>
      <c r="P3" s="7"/>
      <c r="Q3" s="7"/>
      <c r="R3" s="7"/>
      <c r="S3" s="7"/>
      <c r="T3" s="7"/>
      <c r="U3" s="7"/>
      <c r="V3" s="7"/>
      <c r="W3" s="7"/>
      <c r="X3" s="7"/>
    </row>
    <row r="4" spans="1:24" x14ac:dyDescent="0.25">
      <c r="A4" s="7"/>
      <c r="B4" s="7"/>
      <c r="C4" s="7"/>
      <c r="D4" s="7"/>
      <c r="E4" s="7"/>
      <c r="F4" s="7"/>
      <c r="G4" s="7"/>
      <c r="H4" s="7"/>
      <c r="I4" s="7"/>
      <c r="J4" s="7"/>
      <c r="K4" s="7"/>
      <c r="L4" s="7"/>
      <c r="M4" s="7"/>
      <c r="N4" s="7"/>
      <c r="O4" s="7"/>
      <c r="P4" s="7"/>
      <c r="Q4" s="7"/>
      <c r="R4" s="7"/>
      <c r="S4" s="7"/>
      <c r="T4" s="7"/>
      <c r="U4" s="7"/>
      <c r="V4" s="7"/>
      <c r="W4" s="7"/>
      <c r="X4" s="7"/>
    </row>
    <row r="5" spans="1:24" x14ac:dyDescent="0.25">
      <c r="A5" s="7"/>
      <c r="B5" s="7"/>
      <c r="C5" s="7"/>
      <c r="D5" s="7"/>
      <c r="E5" s="7"/>
      <c r="F5" s="7"/>
      <c r="G5" s="7"/>
      <c r="H5" s="7"/>
      <c r="I5" s="7"/>
      <c r="J5" s="7"/>
      <c r="K5" s="7"/>
      <c r="L5" s="7"/>
      <c r="M5" s="7"/>
      <c r="N5" s="7"/>
      <c r="O5" s="7"/>
      <c r="P5" s="7"/>
      <c r="Q5" s="7"/>
      <c r="R5" s="7"/>
      <c r="S5" s="7"/>
      <c r="T5" s="7"/>
      <c r="U5" s="7"/>
      <c r="V5" s="7"/>
      <c r="W5" s="7"/>
      <c r="X5" s="7"/>
    </row>
    <row r="6" spans="1:24" x14ac:dyDescent="0.25">
      <c r="A6" s="7"/>
      <c r="B6" s="7"/>
      <c r="C6" s="7"/>
      <c r="D6" s="7"/>
      <c r="E6" s="7"/>
      <c r="F6" s="7"/>
      <c r="G6" s="7"/>
      <c r="H6" s="7"/>
      <c r="I6" s="7"/>
      <c r="J6" s="7"/>
      <c r="K6" s="7"/>
      <c r="L6" s="7"/>
      <c r="M6" s="7"/>
      <c r="N6" s="7"/>
      <c r="O6" s="7"/>
      <c r="P6" s="7"/>
      <c r="Q6" s="7"/>
      <c r="R6" s="7"/>
      <c r="S6" s="7"/>
      <c r="T6" s="7"/>
      <c r="U6" s="7"/>
      <c r="V6" s="7"/>
      <c r="W6" s="7"/>
      <c r="X6" s="7"/>
    </row>
    <row r="7" spans="1:24" x14ac:dyDescent="0.25">
      <c r="A7" s="7"/>
      <c r="B7" s="7"/>
      <c r="C7" s="7"/>
      <c r="D7" s="7"/>
      <c r="E7" s="7"/>
      <c r="F7" s="7"/>
      <c r="G7" s="7"/>
      <c r="H7" s="7"/>
      <c r="I7" s="7"/>
      <c r="J7" s="7"/>
      <c r="K7" s="7"/>
      <c r="L7" s="7"/>
      <c r="M7" s="7"/>
      <c r="N7" s="7"/>
      <c r="O7" s="7"/>
      <c r="P7" s="7"/>
      <c r="Q7" s="7"/>
      <c r="R7" s="7"/>
      <c r="S7" s="7"/>
      <c r="T7" s="7"/>
      <c r="U7" s="7"/>
      <c r="V7" s="7"/>
      <c r="W7" s="7"/>
      <c r="X7" s="7"/>
    </row>
    <row r="8" spans="1:24" x14ac:dyDescent="0.25">
      <c r="A8" s="7"/>
      <c r="B8" s="7"/>
      <c r="C8" s="7"/>
      <c r="D8" s="7"/>
      <c r="E8" s="7"/>
      <c r="F8" s="7"/>
      <c r="G8" s="7"/>
      <c r="H8" s="7"/>
      <c r="I8" s="7"/>
      <c r="J8" s="7"/>
      <c r="K8" s="7"/>
      <c r="L8" s="7"/>
      <c r="M8" s="7"/>
      <c r="N8" s="7"/>
      <c r="O8" s="7"/>
      <c r="P8" s="7"/>
      <c r="Q8" s="7"/>
      <c r="R8" s="7"/>
      <c r="S8" s="7"/>
      <c r="T8" s="7"/>
      <c r="U8" s="7"/>
      <c r="V8" s="7"/>
      <c r="W8" s="7"/>
      <c r="X8" s="7"/>
    </row>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zoomScaleNormal="100" workbookViewId="0">
      <selection activeCell="H13" sqref="H13"/>
    </sheetView>
  </sheetViews>
  <sheetFormatPr defaultColWidth="14.5703125" defaultRowHeight="15" x14ac:dyDescent="0.25"/>
  <cols>
    <col min="1" max="3" width="20.42578125" customWidth="1"/>
    <col min="16384" max="16384" width="11.42578125" customWidth="1"/>
  </cols>
  <sheetData>
    <row r="1" spans="1:4" ht="25.5" customHeight="1" x14ac:dyDescent="0.25">
      <c r="A1" s="52" t="s">
        <v>66</v>
      </c>
      <c r="B1" s="52" t="s">
        <v>270</v>
      </c>
      <c r="C1" s="52" t="s">
        <v>271</v>
      </c>
    </row>
    <row r="2" spans="1:4" ht="15" customHeight="1" x14ac:dyDescent="0.25">
      <c r="A2" s="30"/>
      <c r="B2" s="13"/>
      <c r="C2" s="13"/>
      <c r="D2" s="38"/>
    </row>
    <row r="3" spans="1:4" x14ac:dyDescent="0.25">
      <c r="A3" s="7"/>
      <c r="B3" s="7"/>
      <c r="C3" s="7"/>
    </row>
    <row r="4" spans="1:4" x14ac:dyDescent="0.25">
      <c r="A4" s="7"/>
      <c r="B4" s="7"/>
      <c r="C4" s="7"/>
    </row>
    <row r="5" spans="1:4" x14ac:dyDescent="0.25">
      <c r="A5" s="7"/>
      <c r="B5" s="7"/>
      <c r="C5" s="7"/>
    </row>
    <row r="6" spans="1:4" x14ac:dyDescent="0.25">
      <c r="A6" s="7"/>
      <c r="B6" s="7"/>
      <c r="C6" s="7"/>
    </row>
    <row r="7" spans="1:4" x14ac:dyDescent="0.25">
      <c r="A7" s="7"/>
      <c r="B7" s="7"/>
      <c r="C7" s="7"/>
    </row>
    <row r="8" spans="1:4" x14ac:dyDescent="0.25">
      <c r="A8" s="7"/>
      <c r="B8" s="7"/>
      <c r="C8" s="7"/>
    </row>
    <row r="12" spans="1:4" ht="15.75" customHeight="1" x14ac:dyDescent="0.25"/>
    <row r="13" spans="1:4" ht="15.75" customHeight="1" x14ac:dyDescent="0.25"/>
    <row r="14" spans="1:4" ht="15.75" customHeight="1" x14ac:dyDescent="0.25"/>
    <row r="15" spans="1:4" ht="15.75" customHeight="1" x14ac:dyDescent="0.25"/>
    <row r="16" spans="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F0012BD8-AD23-4059-8955-C8C950130C4D}">
      <formula1>INDIRECT("study[studyId]")</formula1>
    </dataValidation>
    <dataValidation type="list" allowBlank="1" showInputMessage="1" showErrorMessage="1" sqref="B2" xr:uid="{D23A136B-F06D-463E-A5F3-58A48D58102D}">
      <formula1>INDIRECT("environmentParameters[envParam]")</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O11"/>
  <sheetViews>
    <sheetView zoomScaleNormal="100" workbookViewId="0">
      <selection activeCell="F27" sqref="F27"/>
    </sheetView>
  </sheetViews>
  <sheetFormatPr defaultColWidth="14.5703125" defaultRowHeight="15" x14ac:dyDescent="0.25"/>
  <cols>
    <col min="1" max="6" width="20.42578125" customWidth="1"/>
    <col min="7" max="8" width="11.42578125" customWidth="1"/>
    <col min="9" max="15" width="10.5703125" customWidth="1"/>
  </cols>
  <sheetData>
    <row r="1" spans="1:15" s="36" customFormat="1" x14ac:dyDescent="0.25">
      <c r="A1" s="52" t="s">
        <v>66</v>
      </c>
      <c r="B1" s="52" t="s">
        <v>681</v>
      </c>
      <c r="C1" s="64" t="s">
        <v>680</v>
      </c>
      <c r="D1" s="52" t="s">
        <v>282</v>
      </c>
      <c r="E1" s="51" t="s">
        <v>283</v>
      </c>
      <c r="F1" s="63" t="s">
        <v>284</v>
      </c>
      <c r="G1" s="39"/>
      <c r="H1" s="39"/>
      <c r="I1" s="39"/>
      <c r="J1" s="39"/>
      <c r="K1" s="39"/>
      <c r="L1" s="39"/>
      <c r="M1" s="39"/>
      <c r="N1" s="39"/>
      <c r="O1" s="39"/>
    </row>
    <row r="2" spans="1:15" x14ac:dyDescent="0.25">
      <c r="A2" s="30" t="s">
        <v>671</v>
      </c>
      <c r="B2" s="30" t="s">
        <v>683</v>
      </c>
      <c r="C2" s="30" t="str">
        <f>CONCATENATE(experimentalFactor[studyId],"-",experimentalFactor[expeFactorCode])</f>
        <v>S1-N</v>
      </c>
      <c r="D2" s="13"/>
      <c r="E2" s="13"/>
      <c r="F2" s="30"/>
      <c r="G2" s="40"/>
      <c r="H2" s="40"/>
      <c r="I2" s="40"/>
      <c r="J2" s="40"/>
      <c r="K2" s="40"/>
      <c r="L2" s="40"/>
      <c r="M2" s="40"/>
      <c r="N2" s="40"/>
      <c r="O2" s="40"/>
    </row>
    <row r="3" spans="1:15" x14ac:dyDescent="0.25">
      <c r="A3" s="7"/>
      <c r="B3" s="7"/>
      <c r="C3" s="7"/>
      <c r="D3" s="7"/>
      <c r="E3" s="7"/>
      <c r="F3" s="7"/>
      <c r="G3" s="40"/>
      <c r="H3" s="40"/>
      <c r="I3" s="40"/>
      <c r="J3" s="40"/>
      <c r="K3" s="40"/>
      <c r="L3" s="40"/>
      <c r="M3" s="40"/>
      <c r="N3" s="40"/>
      <c r="O3" s="40"/>
    </row>
    <row r="4" spans="1:15" x14ac:dyDescent="0.25">
      <c r="A4" s="7"/>
      <c r="B4" s="7"/>
      <c r="C4" s="7"/>
      <c r="D4" s="7"/>
      <c r="E4" s="7"/>
      <c r="F4" s="7"/>
      <c r="G4" s="40"/>
      <c r="H4" s="40"/>
      <c r="I4" s="40"/>
      <c r="J4" s="40"/>
      <c r="K4" s="40"/>
      <c r="L4" s="40"/>
      <c r="M4" s="40"/>
      <c r="N4" s="40"/>
      <c r="O4" s="40"/>
    </row>
    <row r="5" spans="1:15" x14ac:dyDescent="0.25">
      <c r="A5" s="7"/>
      <c r="B5" s="7"/>
      <c r="C5" s="7"/>
      <c r="D5" s="7"/>
      <c r="E5" s="7"/>
      <c r="F5" s="7"/>
      <c r="G5" s="40"/>
      <c r="H5" s="40"/>
      <c r="I5" s="40"/>
      <c r="J5" s="40"/>
      <c r="K5" s="40"/>
      <c r="L5" s="40"/>
      <c r="M5" s="40"/>
      <c r="N5" s="40"/>
      <c r="O5" s="40"/>
    </row>
    <row r="6" spans="1:15" x14ac:dyDescent="0.25">
      <c r="A6" s="7"/>
      <c r="B6" s="7"/>
      <c r="C6" s="7"/>
      <c r="D6" s="7"/>
      <c r="E6" s="7"/>
      <c r="F6" s="7"/>
      <c r="G6" s="40"/>
      <c r="H6" s="40"/>
      <c r="I6" s="40"/>
      <c r="J6" s="40"/>
      <c r="K6" s="40"/>
      <c r="L6" s="40"/>
      <c r="M6" s="40"/>
      <c r="N6" s="40"/>
      <c r="O6" s="40"/>
    </row>
    <row r="7" spans="1:15" x14ac:dyDescent="0.25">
      <c r="A7" s="7"/>
      <c r="B7" s="7"/>
      <c r="C7" s="7"/>
      <c r="D7" s="7"/>
      <c r="E7" s="7"/>
      <c r="F7" s="7"/>
      <c r="G7" s="40"/>
      <c r="H7" s="40"/>
      <c r="I7" s="40"/>
      <c r="J7" s="40"/>
      <c r="K7" s="40"/>
      <c r="L7" s="40"/>
      <c r="M7" s="40"/>
      <c r="N7" s="40"/>
      <c r="O7" s="40"/>
    </row>
    <row r="8" spans="1:15" x14ac:dyDescent="0.25">
      <c r="A8" s="7"/>
      <c r="B8" s="7"/>
      <c r="C8" s="7"/>
      <c r="D8" s="7"/>
      <c r="E8" s="7"/>
      <c r="F8" s="7"/>
      <c r="G8" s="40"/>
      <c r="H8" s="40"/>
      <c r="I8" s="40"/>
      <c r="J8" s="40"/>
      <c r="K8" s="40"/>
      <c r="L8" s="40"/>
      <c r="M8" s="40"/>
      <c r="N8" s="40"/>
      <c r="O8" s="40"/>
    </row>
    <row r="9" spans="1:15" x14ac:dyDescent="0.25">
      <c r="A9" s="40"/>
      <c r="B9" s="40"/>
      <c r="C9" s="40"/>
      <c r="D9" s="40"/>
      <c r="E9" s="40"/>
      <c r="F9" s="40"/>
      <c r="G9" s="40"/>
      <c r="H9" s="40"/>
      <c r="I9" s="40"/>
      <c r="J9" s="40"/>
      <c r="K9" s="40"/>
      <c r="L9" s="40"/>
      <c r="M9" s="40"/>
      <c r="N9" s="40"/>
      <c r="O9" s="40"/>
    </row>
    <row r="10" spans="1:15" x14ac:dyDescent="0.25">
      <c r="A10" s="40"/>
      <c r="B10" s="40"/>
      <c r="C10" s="40"/>
      <c r="D10" s="40"/>
      <c r="E10" s="40"/>
      <c r="F10" s="40"/>
      <c r="G10" s="40"/>
      <c r="H10" s="40"/>
      <c r="I10" s="40"/>
      <c r="J10" s="40"/>
      <c r="K10" s="40"/>
      <c r="L10" s="40"/>
      <c r="M10" s="40"/>
      <c r="N10" s="40"/>
      <c r="O10" s="40"/>
    </row>
    <row r="11" spans="1:15" x14ac:dyDescent="0.25">
      <c r="A11" s="40"/>
      <c r="B11" s="40"/>
      <c r="C11" s="40"/>
      <c r="D11" s="40"/>
      <c r="E11" s="40"/>
      <c r="F11" s="40"/>
      <c r="G11" s="40"/>
      <c r="H11" s="40"/>
      <c r="I11" s="40"/>
      <c r="J11" s="40"/>
      <c r="K11" s="40"/>
      <c r="L11" s="40"/>
      <c r="M11" s="40"/>
      <c r="N11" s="40"/>
      <c r="O11" s="40"/>
    </row>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16F6-2188-4422-AF91-E595A36EE21A}">
  <sheetPr>
    <tabColor theme="5"/>
  </sheetPr>
  <dimension ref="A1:E2"/>
  <sheetViews>
    <sheetView workbookViewId="0">
      <selection activeCell="D1" sqref="D1"/>
    </sheetView>
  </sheetViews>
  <sheetFormatPr defaultRowHeight="15" x14ac:dyDescent="0.25"/>
  <cols>
    <col min="1" max="1" width="14.140625" bestFit="1" customWidth="1"/>
    <col min="2" max="2" width="30" customWidth="1"/>
    <col min="3" max="3" width="21.42578125" bestFit="1" customWidth="1"/>
    <col min="4" max="4" width="25.5703125" customWidth="1"/>
    <col min="5" max="5" width="21.140625" bestFit="1" customWidth="1"/>
  </cols>
  <sheetData>
    <row r="1" spans="1:5" x14ac:dyDescent="0.25">
      <c r="A1" t="s">
        <v>680</v>
      </c>
      <c r="B1" s="65" t="s">
        <v>684</v>
      </c>
      <c r="C1" s="60" t="s">
        <v>689</v>
      </c>
      <c r="D1" t="s">
        <v>685</v>
      </c>
      <c r="E1" t="s">
        <v>686</v>
      </c>
    </row>
    <row r="2" spans="1:5" x14ac:dyDescent="0.25">
      <c r="A2" t="s">
        <v>687</v>
      </c>
      <c r="B2" t="str">
        <f>CONCATENATE(experimentalFactorLevel[expeFactorId],"-",experimentalFactorLevel[expeFactorLevelCode])</f>
        <v>S1-N-N1</v>
      </c>
      <c r="C2" s="60" t="s">
        <v>688</v>
      </c>
    </row>
  </sheetData>
  <dataValidations count="1">
    <dataValidation type="list" allowBlank="1" showInputMessage="1" showErrorMessage="1" sqref="A2" xr:uid="{BB15239E-DF5D-4524-AED3-F9F9639D5B2D}">
      <formula1>INDIRECT("experimentalFactor[expeFactorId]")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997"/>
  <sheetViews>
    <sheetView zoomScaleNormal="100" workbookViewId="0">
      <selection activeCell="E11" sqref="E11"/>
    </sheetView>
  </sheetViews>
  <sheetFormatPr defaultColWidth="14.5703125" defaultRowHeight="15" x14ac:dyDescent="0.25"/>
  <cols>
    <col min="1" max="6" width="20.42578125" customWidth="1"/>
    <col min="7" max="13" width="43.28515625" customWidth="1"/>
    <col min="16384" max="16384" width="11.42578125" customWidth="1"/>
  </cols>
  <sheetData>
    <row r="1" spans="1:14" s="42" customFormat="1" ht="25.5" customHeight="1" x14ac:dyDescent="0.25">
      <c r="A1" s="52" t="s">
        <v>66</v>
      </c>
      <c r="B1" s="51" t="s">
        <v>299</v>
      </c>
      <c r="C1" s="51" t="s">
        <v>684</v>
      </c>
      <c r="D1" s="52" t="s">
        <v>300</v>
      </c>
      <c r="E1" s="53" t="s">
        <v>301</v>
      </c>
      <c r="F1" s="51" t="s">
        <v>302</v>
      </c>
      <c r="G1" s="52" t="s">
        <v>303</v>
      </c>
      <c r="H1" s="41"/>
      <c r="I1" s="41"/>
      <c r="J1" s="41"/>
      <c r="K1" s="41"/>
      <c r="L1" s="41"/>
      <c r="M1" s="41"/>
      <c r="N1" s="41"/>
    </row>
    <row r="2" spans="1:14" ht="12.75" customHeight="1" x14ac:dyDescent="0.25">
      <c r="A2" s="30"/>
      <c r="B2" s="13"/>
      <c r="C2" s="13" t="s">
        <v>700</v>
      </c>
      <c r="D2" s="13"/>
      <c r="E2" s="30"/>
      <c r="F2" s="13"/>
      <c r="G2" s="13"/>
      <c r="H2" s="40"/>
      <c r="I2" s="40"/>
      <c r="J2" s="40"/>
      <c r="K2" s="40"/>
      <c r="L2" s="40"/>
      <c r="M2" s="40"/>
      <c r="N2" s="40"/>
    </row>
    <row r="3" spans="1:14" ht="12.75" customHeight="1" x14ac:dyDescent="0.25">
      <c r="A3" s="7"/>
      <c r="B3" s="7"/>
      <c r="C3" s="7"/>
      <c r="D3" s="7"/>
      <c r="E3" s="7"/>
      <c r="F3" s="7"/>
      <c r="G3" s="40"/>
      <c r="H3" s="40"/>
      <c r="I3" s="40"/>
      <c r="J3" s="40"/>
      <c r="K3" s="40"/>
      <c r="L3" s="40"/>
      <c r="M3" s="40"/>
    </row>
    <row r="4" spans="1:14" ht="12.75" customHeight="1" x14ac:dyDescent="0.25">
      <c r="A4" s="7"/>
      <c r="B4" s="7"/>
      <c r="C4" s="7"/>
      <c r="D4" s="7"/>
      <c r="E4" s="7"/>
      <c r="F4" s="7"/>
      <c r="G4" s="40"/>
      <c r="H4" s="40"/>
      <c r="I4" s="40"/>
      <c r="J4" s="40"/>
      <c r="K4" s="40"/>
      <c r="L4" s="40"/>
      <c r="M4" s="40"/>
    </row>
    <row r="5" spans="1:14" ht="12.75" customHeight="1" x14ac:dyDescent="0.25">
      <c r="A5" s="7"/>
      <c r="B5" s="7"/>
      <c r="C5" s="7"/>
      <c r="D5" s="7"/>
      <c r="E5" s="7"/>
      <c r="F5" s="7"/>
      <c r="G5" s="40"/>
      <c r="H5" s="40"/>
      <c r="I5" s="40"/>
      <c r="J5" s="40"/>
      <c r="K5" s="40"/>
      <c r="L5" s="40"/>
      <c r="M5" s="40"/>
    </row>
    <row r="6" spans="1:14" ht="12.75" customHeight="1" x14ac:dyDescent="0.25">
      <c r="A6" s="7"/>
      <c r="B6" s="7"/>
      <c r="C6" s="7"/>
      <c r="D6" s="7"/>
      <c r="E6" s="7"/>
      <c r="F6" s="7"/>
      <c r="G6" s="40"/>
      <c r="H6" s="40"/>
      <c r="I6" s="40"/>
      <c r="J6" s="40"/>
      <c r="K6" s="40"/>
      <c r="L6" s="40"/>
      <c r="M6" s="40"/>
    </row>
    <row r="7" spans="1:14" ht="12.75" customHeight="1" x14ac:dyDescent="0.25">
      <c r="A7" s="7"/>
      <c r="B7" s="7"/>
      <c r="C7" s="7"/>
      <c r="D7" s="7"/>
      <c r="E7" s="7"/>
      <c r="F7" s="7"/>
      <c r="G7" s="40"/>
      <c r="H7" s="40"/>
      <c r="I7" s="40"/>
      <c r="J7" s="40"/>
      <c r="K7" s="40"/>
      <c r="L7" s="40"/>
      <c r="M7" s="40"/>
    </row>
    <row r="8" spans="1:14" ht="12.75" customHeight="1" x14ac:dyDescent="0.25">
      <c r="A8" s="7"/>
      <c r="B8" s="7"/>
      <c r="C8" s="7"/>
      <c r="D8" s="7"/>
      <c r="E8" s="7"/>
      <c r="F8" s="7"/>
      <c r="G8" s="40"/>
      <c r="H8" s="40"/>
      <c r="I8" s="40"/>
      <c r="J8" s="40"/>
      <c r="K8" s="40"/>
      <c r="L8" s="40"/>
      <c r="M8" s="40"/>
    </row>
    <row r="9" spans="1:14" ht="12.75" customHeight="1" x14ac:dyDescent="0.25">
      <c r="A9" s="40"/>
      <c r="B9" s="40"/>
      <c r="C9" s="40"/>
      <c r="D9" s="40"/>
      <c r="E9" s="40"/>
      <c r="F9" s="40"/>
      <c r="G9" s="40"/>
      <c r="H9" s="40"/>
      <c r="I9" s="40"/>
      <c r="J9" s="40"/>
      <c r="K9" s="40"/>
      <c r="L9" s="40"/>
      <c r="M9" s="40"/>
    </row>
    <row r="10" spans="1:14" ht="15.75" customHeight="1" x14ac:dyDescent="0.25"/>
    <row r="11" spans="1:14" ht="15.75" customHeight="1" x14ac:dyDescent="0.25"/>
    <row r="12" spans="1:14" ht="15.75" customHeight="1" x14ac:dyDescent="0.25"/>
    <row r="13" spans="1:14" ht="15.75" customHeight="1" x14ac:dyDescent="0.25"/>
    <row r="14" spans="1:14" ht="15.75" customHeight="1" x14ac:dyDescent="0.25"/>
    <row r="15" spans="1:14" ht="15.75" customHeight="1" x14ac:dyDescent="0.25"/>
    <row r="16" spans="1: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649E6E49-1C43-4DBC-A22C-62A99DEF1F6A}">
      <formula1>INDIRECT("study[studyId]")</formula1>
    </dataValidation>
    <dataValidation type="list" allowBlank="1" showInputMessage="1" showErrorMessage="1" sqref="C2" xr:uid="{3FDC3BD9-29EA-4CC9-B0E3-920E59601C65}">
      <formula1>INDIRECT("experimentalFactorLevel[expeFactorLevelId]")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N997"/>
  <sheetViews>
    <sheetView zoomScaleNormal="100" workbookViewId="0">
      <selection activeCell="M9" sqref="M9"/>
    </sheetView>
  </sheetViews>
  <sheetFormatPr defaultColWidth="14.5703125" defaultRowHeight="15" x14ac:dyDescent="0.25"/>
  <cols>
    <col min="1" max="8" width="20.42578125" customWidth="1"/>
    <col min="9" max="14" width="10.5703125" customWidth="1"/>
  </cols>
  <sheetData>
    <row r="1" spans="1:14" s="36" customFormat="1" ht="25.5" customHeight="1" x14ac:dyDescent="0.25">
      <c r="A1" s="52" t="s">
        <v>66</v>
      </c>
      <c r="B1" s="52" t="s">
        <v>195</v>
      </c>
      <c r="C1" s="52" t="s">
        <v>299</v>
      </c>
      <c r="D1" s="66" t="s">
        <v>702</v>
      </c>
      <c r="E1" s="52" t="s">
        <v>323</v>
      </c>
      <c r="F1" s="53" t="s">
        <v>324</v>
      </c>
      <c r="G1" s="51" t="s">
        <v>325</v>
      </c>
      <c r="H1" s="51" t="s">
        <v>326</v>
      </c>
      <c r="I1" s="41"/>
      <c r="J1" s="41"/>
      <c r="K1" s="41"/>
      <c r="L1" s="41"/>
      <c r="M1" s="41"/>
      <c r="N1" s="41"/>
    </row>
    <row r="2" spans="1:14" ht="12.75" customHeight="1" x14ac:dyDescent="0.25">
      <c r="A2" s="30"/>
      <c r="B2" s="13"/>
      <c r="C2" s="13"/>
      <c r="D2" s="13"/>
      <c r="E2" s="30"/>
      <c r="F2" s="13"/>
      <c r="G2" s="13"/>
      <c r="H2" s="30"/>
      <c r="I2" s="43"/>
      <c r="J2" s="43"/>
      <c r="K2" s="43"/>
      <c r="L2" s="43"/>
      <c r="M2" s="43"/>
      <c r="N2" s="43"/>
    </row>
    <row r="3" spans="1:14" ht="12.75" customHeight="1" x14ac:dyDescent="0.25">
      <c r="A3" s="7"/>
      <c r="B3" s="7"/>
      <c r="C3" s="7"/>
      <c r="D3" s="7"/>
      <c r="E3" s="7"/>
      <c r="F3" s="7"/>
      <c r="G3" s="7"/>
      <c r="H3" s="7"/>
      <c r="I3" s="43"/>
      <c r="J3" s="43"/>
      <c r="K3" s="43"/>
      <c r="L3" s="43"/>
      <c r="M3" s="43"/>
      <c r="N3" s="43"/>
    </row>
    <row r="4" spans="1:14" ht="12.75" customHeight="1" x14ac:dyDescent="0.25">
      <c r="A4" s="7"/>
      <c r="B4" s="7"/>
      <c r="C4" s="7"/>
      <c r="D4" s="7"/>
      <c r="E4" s="7"/>
      <c r="F4" s="7"/>
      <c r="G4" s="7"/>
      <c r="H4" s="7"/>
      <c r="I4" s="43"/>
      <c r="J4" s="43"/>
      <c r="K4" s="43"/>
      <c r="L4" s="43"/>
      <c r="M4" s="43"/>
      <c r="N4" s="43"/>
    </row>
    <row r="5" spans="1:14" ht="12.75" customHeight="1" x14ac:dyDescent="0.25">
      <c r="A5" s="7"/>
      <c r="B5" s="7"/>
      <c r="C5" s="7"/>
      <c r="D5" s="7"/>
      <c r="E5" s="7"/>
      <c r="F5" s="7"/>
      <c r="G5" s="7"/>
      <c r="H5" s="7"/>
      <c r="I5" s="43"/>
      <c r="J5" s="43"/>
      <c r="K5" s="43"/>
      <c r="L5" s="43"/>
      <c r="M5" s="43"/>
      <c r="N5" s="43"/>
    </row>
    <row r="6" spans="1:14" ht="12.75" customHeight="1" x14ac:dyDescent="0.25">
      <c r="A6" s="7"/>
      <c r="B6" s="7"/>
      <c r="C6" s="7"/>
      <c r="D6" s="7"/>
      <c r="E6" s="7"/>
      <c r="F6" s="7"/>
      <c r="G6" s="7"/>
      <c r="H6" s="7"/>
      <c r="I6" s="43"/>
      <c r="J6" s="43"/>
      <c r="K6" s="43"/>
      <c r="L6" s="43"/>
      <c r="M6" s="43"/>
      <c r="N6" s="43"/>
    </row>
    <row r="7" spans="1:14" ht="12.75" customHeight="1" x14ac:dyDescent="0.25">
      <c r="A7" s="7"/>
      <c r="B7" s="7"/>
      <c r="C7" s="7"/>
      <c r="D7" s="7"/>
      <c r="E7" s="7"/>
      <c r="F7" s="7"/>
      <c r="G7" s="7"/>
      <c r="H7" s="7"/>
      <c r="I7" s="43"/>
      <c r="J7" s="43"/>
      <c r="K7" s="43"/>
      <c r="L7" s="43"/>
      <c r="M7" s="43"/>
      <c r="N7" s="43"/>
    </row>
    <row r="8" spans="1:14" ht="12.75" customHeight="1" x14ac:dyDescent="0.25">
      <c r="A8" s="7"/>
      <c r="B8" s="7"/>
      <c r="C8" s="7"/>
      <c r="D8" s="7"/>
      <c r="E8" s="7"/>
      <c r="F8" s="7"/>
      <c r="G8" s="7"/>
      <c r="H8" s="7"/>
      <c r="I8" s="43"/>
      <c r="J8" s="43"/>
      <c r="K8" s="43"/>
      <c r="L8" s="43"/>
      <c r="M8" s="43"/>
      <c r="N8" s="43"/>
    </row>
    <row r="9" spans="1:14" ht="12.75" customHeight="1" x14ac:dyDescent="0.25">
      <c r="A9" s="43"/>
      <c r="B9" s="43"/>
      <c r="C9" s="43"/>
      <c r="D9" s="43"/>
      <c r="E9" s="43"/>
      <c r="F9" s="43"/>
      <c r="G9" s="43"/>
      <c r="H9" s="43"/>
      <c r="I9" s="43"/>
      <c r="J9" s="43"/>
      <c r="K9" s="43"/>
      <c r="L9" s="43"/>
      <c r="M9" s="43"/>
      <c r="N9" s="43"/>
    </row>
    <row r="10" spans="1:14" ht="15.75" customHeight="1" x14ac:dyDescent="0.25"/>
    <row r="11" spans="1:14" ht="15.75" customHeight="1" x14ac:dyDescent="0.25"/>
    <row r="12" spans="1:14" ht="15.75" customHeight="1" x14ac:dyDescent="0.25"/>
    <row r="13" spans="1:14" ht="15.75" customHeight="1" x14ac:dyDescent="0.25"/>
    <row r="14" spans="1:14" ht="15.75" customHeight="1" x14ac:dyDescent="0.25"/>
    <row r="15" spans="1:14" ht="15.75" customHeight="1" x14ac:dyDescent="0.25"/>
    <row r="16" spans="1: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C9CAF3F9-1E81-44B5-A4D0-E0C67AD055FB}">
      <formula1>INDIRECT("study[studyId]")</formula1>
    </dataValidation>
    <dataValidation type="list" allowBlank="1" showInputMessage="1" showErrorMessage="1" sqref="D2" xr:uid="{65F4BB92-CA74-4B3B-B3E4-AF805E1DE54A}">
      <formula1>INDIRECT("observationUnit[obsUnitId]")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703125" defaultRowHeight="15" x14ac:dyDescent="0.25"/>
  <cols>
    <col min="1" max="7" width="20.42578125" style="44" customWidth="1"/>
    <col min="16384" max="16384" width="11.42578125" customWidth="1"/>
  </cols>
  <sheetData>
    <row r="1" spans="1:13" s="36" customFormat="1" ht="25.35" customHeight="1" x14ac:dyDescent="0.25">
      <c r="A1" s="52" t="s">
        <v>299</v>
      </c>
      <c r="B1" s="52" t="s">
        <v>349</v>
      </c>
      <c r="C1" s="51" t="s">
        <v>350</v>
      </c>
      <c r="D1" s="52" t="s">
        <v>351</v>
      </c>
      <c r="E1" s="51" t="s">
        <v>352</v>
      </c>
      <c r="F1" s="52" t="s">
        <v>353</v>
      </c>
      <c r="G1" s="51" t="s">
        <v>324</v>
      </c>
      <c r="H1" s="33"/>
      <c r="I1" s="33"/>
      <c r="J1" s="33"/>
      <c r="K1" s="33"/>
      <c r="L1" s="33"/>
      <c r="M1" s="33"/>
    </row>
    <row r="2" spans="1:13" ht="15" customHeight="1" x14ac:dyDescent="0.25">
      <c r="A2" s="30"/>
      <c r="B2" s="13"/>
      <c r="C2" s="13"/>
      <c r="D2" s="30"/>
      <c r="E2" s="13"/>
      <c r="F2" s="13"/>
      <c r="G2" s="30"/>
      <c r="H2" s="45"/>
      <c r="I2" s="45"/>
      <c r="J2" s="45"/>
      <c r="K2" s="45"/>
      <c r="L2" s="45"/>
      <c r="M2" s="45"/>
    </row>
    <row r="3" spans="1:13" x14ac:dyDescent="0.25">
      <c r="A3" s="59"/>
      <c r="B3" s="59"/>
      <c r="C3" s="59"/>
      <c r="D3" s="59"/>
      <c r="E3" s="59"/>
      <c r="F3" s="59"/>
      <c r="G3" s="59"/>
      <c r="H3" s="45"/>
      <c r="I3" s="45"/>
      <c r="J3" s="45"/>
      <c r="K3" s="45"/>
      <c r="L3" s="45"/>
      <c r="M3" s="45"/>
    </row>
    <row r="4" spans="1:13" x14ac:dyDescent="0.25">
      <c r="A4" s="59"/>
      <c r="B4" s="59"/>
      <c r="C4" s="59"/>
      <c r="D4" s="59"/>
      <c r="E4" s="59"/>
      <c r="F4" s="59"/>
      <c r="G4" s="59"/>
      <c r="H4" s="45"/>
      <c r="I4" s="45"/>
      <c r="J4" s="45"/>
      <c r="K4" s="45"/>
      <c r="L4" s="45"/>
      <c r="M4" s="45"/>
    </row>
    <row r="5" spans="1:13" x14ac:dyDescent="0.25">
      <c r="A5" s="59"/>
      <c r="B5" s="59"/>
      <c r="C5" s="59"/>
      <c r="D5" s="59"/>
      <c r="E5" s="59"/>
      <c r="F5" s="59"/>
      <c r="G5" s="59"/>
      <c r="H5" s="45"/>
      <c r="I5" s="45"/>
      <c r="J5" s="45"/>
      <c r="K5" s="45"/>
      <c r="L5" s="45"/>
      <c r="M5" s="45"/>
    </row>
    <row r="6" spans="1:13" x14ac:dyDescent="0.25">
      <c r="A6" s="59"/>
      <c r="B6" s="59"/>
      <c r="C6" s="59"/>
      <c r="D6" s="59"/>
      <c r="E6" s="59"/>
      <c r="F6" s="59"/>
      <c r="G6" s="59"/>
      <c r="H6" s="45"/>
      <c r="I6" s="45"/>
      <c r="J6" s="45"/>
      <c r="K6" s="45"/>
      <c r="L6" s="45"/>
      <c r="M6" s="45"/>
    </row>
    <row r="7" spans="1:13" x14ac:dyDescent="0.25">
      <c r="A7" s="59"/>
      <c r="B7" s="59"/>
      <c r="C7" s="59"/>
      <c r="D7" s="59"/>
      <c r="E7" s="59"/>
      <c r="F7" s="59"/>
      <c r="G7" s="59"/>
      <c r="H7" s="45"/>
      <c r="I7" s="45"/>
      <c r="J7" s="45"/>
      <c r="K7" s="45"/>
      <c r="L7" s="45"/>
      <c r="M7" s="45"/>
    </row>
    <row r="8" spans="1:13" x14ac:dyDescent="0.25">
      <c r="A8" s="59"/>
      <c r="B8" s="59"/>
      <c r="C8" s="59"/>
      <c r="D8" s="59"/>
      <c r="E8" s="59"/>
      <c r="F8" s="59"/>
      <c r="G8" s="59"/>
      <c r="H8" s="45"/>
      <c r="I8" s="45"/>
      <c r="J8" s="45"/>
      <c r="K8" s="45"/>
      <c r="L8" s="45"/>
      <c r="M8" s="45"/>
    </row>
    <row r="9" spans="1:13" ht="15.75" customHeight="1" x14ac:dyDescent="0.25">
      <c r="A9" s="46"/>
      <c r="B9" s="46"/>
      <c r="C9" s="46"/>
      <c r="D9" s="46"/>
      <c r="E9" s="46"/>
      <c r="F9" s="46"/>
      <c r="G9" s="46"/>
      <c r="H9" s="45"/>
      <c r="I9" s="45"/>
      <c r="J9" s="45"/>
      <c r="K9" s="45"/>
      <c r="L9" s="45"/>
      <c r="M9" s="45"/>
    </row>
    <row r="10" spans="1:13" ht="15.75" customHeight="1" x14ac:dyDescent="0.25"/>
    <row r="11" spans="1:13" ht="15.75" customHeight="1" x14ac:dyDescent="0.25"/>
    <row r="12" spans="1:13" ht="15.75" customHeight="1" x14ac:dyDescent="0.25"/>
    <row r="13" spans="1:13" ht="15.75" customHeight="1" x14ac:dyDescent="0.25"/>
    <row r="14" spans="1:13" ht="15.75" customHeight="1" x14ac:dyDescent="0.25"/>
    <row r="15" spans="1:13" ht="15.75" customHeight="1" x14ac:dyDescent="0.25"/>
    <row r="16" spans="1:13"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U997"/>
  <sheetViews>
    <sheetView topLeftCell="H1" zoomScaleNormal="100" workbookViewId="0">
      <selection activeCell="A2" sqref="A2"/>
    </sheetView>
  </sheetViews>
  <sheetFormatPr defaultColWidth="14.5703125" defaultRowHeight="15" x14ac:dyDescent="0.25"/>
  <cols>
    <col min="1" max="1" width="8.85546875" customWidth="1"/>
    <col min="2" max="2" width="11.42578125" customWidth="1"/>
    <col min="3" max="3" width="14.85546875" customWidth="1"/>
    <col min="4" max="4" width="19.7109375" customWidth="1"/>
    <col min="5" max="5" width="14.7109375" customWidth="1"/>
    <col min="6" max="6" width="13.7109375" bestFit="1" customWidth="1"/>
    <col min="7" max="7" width="26.140625" customWidth="1"/>
    <col min="8" max="8" width="17.85546875" customWidth="1"/>
    <col min="9" max="9" width="33.140625" customWidth="1"/>
    <col min="10" max="10" width="16" customWidth="1"/>
    <col min="11" max="11" width="14.28515625" customWidth="1"/>
    <col min="12" max="12" width="19.140625" customWidth="1"/>
    <col min="13" max="13" width="13.28515625" customWidth="1"/>
    <col min="14" max="14" width="12.140625" customWidth="1"/>
    <col min="15" max="15" width="12.28515625" customWidth="1"/>
    <col min="16" max="18" width="17.140625" customWidth="1"/>
    <col min="19" max="19" width="23.85546875" bestFit="1" customWidth="1"/>
    <col min="20" max="20" width="18.5703125" bestFit="1" customWidth="1"/>
    <col min="21" max="21" width="27.85546875" bestFit="1" customWidth="1"/>
    <col min="16383" max="16383" width="11.42578125" customWidth="1"/>
    <col min="16384" max="16384" width="11.5703125" customWidth="1"/>
  </cols>
  <sheetData>
    <row r="1" spans="1:21" s="37" customFormat="1" ht="25.35" customHeight="1" x14ac:dyDescent="0.25">
      <c r="A1" s="54" t="s">
        <v>66</v>
      </c>
      <c r="B1" s="54" t="s">
        <v>388</v>
      </c>
      <c r="C1" s="55" t="s">
        <v>389</v>
      </c>
      <c r="D1" s="56" t="s">
        <v>690</v>
      </c>
      <c r="E1" s="54" t="s">
        <v>391</v>
      </c>
      <c r="F1" s="56" t="s">
        <v>392</v>
      </c>
      <c r="G1" s="56" t="s">
        <v>691</v>
      </c>
      <c r="H1" s="56" t="s">
        <v>394</v>
      </c>
      <c r="I1" s="56" t="s">
        <v>692</v>
      </c>
      <c r="J1" s="56" t="s">
        <v>693</v>
      </c>
      <c r="K1" s="54" t="s">
        <v>397</v>
      </c>
      <c r="L1" s="56" t="s">
        <v>694</v>
      </c>
      <c r="M1" s="55" t="s">
        <v>399</v>
      </c>
      <c r="N1" s="55" t="s">
        <v>400</v>
      </c>
      <c r="O1" s="54" t="s">
        <v>401</v>
      </c>
      <c r="P1" s="56" t="s">
        <v>695</v>
      </c>
      <c r="Q1" s="56" t="s">
        <v>403</v>
      </c>
      <c r="R1" s="56" t="s">
        <v>696</v>
      </c>
      <c r="S1" s="56" t="s">
        <v>697</v>
      </c>
      <c r="T1" s="56" t="s">
        <v>698</v>
      </c>
      <c r="U1" s="56" t="s">
        <v>699</v>
      </c>
    </row>
    <row r="2" spans="1:21" ht="12.75" customHeight="1" x14ac:dyDescent="0.25">
      <c r="A2" s="13"/>
      <c r="B2" s="30"/>
      <c r="C2" s="13"/>
      <c r="D2" s="13"/>
      <c r="E2" s="30"/>
      <c r="F2" s="13"/>
      <c r="G2" s="13"/>
      <c r="H2" s="30"/>
      <c r="I2" s="30"/>
      <c r="J2" s="30"/>
      <c r="K2" s="30"/>
      <c r="L2" s="30"/>
      <c r="M2" s="30"/>
      <c r="N2" s="30"/>
      <c r="O2" s="30"/>
      <c r="P2" s="30"/>
      <c r="Q2" s="30"/>
      <c r="R2" s="30"/>
      <c r="S2" s="30"/>
      <c r="T2" s="30"/>
      <c r="U2" s="30"/>
    </row>
    <row r="3" spans="1:21" ht="12.75" customHeight="1" x14ac:dyDescent="0.25">
      <c r="A3" s="7"/>
      <c r="B3" s="7"/>
      <c r="C3" s="7"/>
      <c r="D3" s="7"/>
      <c r="E3" s="7"/>
      <c r="F3" s="7"/>
      <c r="G3" s="7"/>
      <c r="H3" s="7"/>
      <c r="I3" s="7"/>
      <c r="J3" s="7"/>
      <c r="K3" s="7"/>
      <c r="L3" s="7"/>
      <c r="M3" s="7"/>
      <c r="N3" s="7"/>
      <c r="O3" s="7"/>
      <c r="P3" s="7"/>
      <c r="Q3" s="7"/>
      <c r="R3" s="7"/>
      <c r="S3" s="7"/>
      <c r="T3" s="7"/>
      <c r="U3" s="7"/>
    </row>
    <row r="4" spans="1:21" ht="15.75" customHeight="1" x14ac:dyDescent="0.25">
      <c r="A4" s="7"/>
      <c r="B4" s="7"/>
      <c r="C4" s="7"/>
      <c r="D4" s="7"/>
      <c r="E4" s="7"/>
      <c r="F4" s="7"/>
      <c r="G4" s="7"/>
      <c r="H4" s="7"/>
      <c r="I4" s="7"/>
      <c r="J4" s="7"/>
      <c r="K4" s="7"/>
      <c r="L4" s="7"/>
      <c r="M4" s="7"/>
      <c r="N4" s="7"/>
      <c r="O4" s="7"/>
      <c r="P4" s="7"/>
      <c r="Q4" s="7"/>
      <c r="R4" s="7"/>
      <c r="S4" s="7"/>
      <c r="T4" s="7"/>
      <c r="U4" s="7"/>
    </row>
    <row r="5" spans="1:21" ht="15.75" customHeight="1" x14ac:dyDescent="0.25">
      <c r="A5" s="7"/>
      <c r="B5" s="7"/>
      <c r="C5" s="7"/>
      <c r="D5" s="7"/>
      <c r="E5" s="7"/>
      <c r="F5" s="7"/>
      <c r="G5" s="7"/>
      <c r="H5" s="7"/>
      <c r="I5" s="7"/>
      <c r="J5" s="7"/>
      <c r="K5" s="7"/>
      <c r="L5" s="7"/>
      <c r="M5" s="7"/>
      <c r="N5" s="7"/>
      <c r="O5" s="7"/>
      <c r="P5" s="7"/>
      <c r="Q5" s="7"/>
      <c r="R5" s="7"/>
      <c r="S5" s="7"/>
      <c r="T5" s="7"/>
      <c r="U5" s="7"/>
    </row>
    <row r="6" spans="1:21" ht="15.75" customHeight="1" x14ac:dyDescent="0.25">
      <c r="A6" s="7"/>
      <c r="B6" s="7"/>
      <c r="C6" s="7"/>
      <c r="D6" s="7"/>
      <c r="E6" s="7"/>
      <c r="F6" s="7"/>
      <c r="G6" s="7"/>
      <c r="H6" s="7"/>
      <c r="I6" s="7"/>
      <c r="J6" s="7"/>
      <c r="K6" s="7"/>
      <c r="L6" s="7"/>
      <c r="M6" s="7"/>
      <c r="N6" s="7"/>
      <c r="O6" s="7"/>
      <c r="P6" s="7"/>
      <c r="Q6" s="7"/>
      <c r="R6" s="7"/>
      <c r="S6" s="7"/>
      <c r="T6" s="7"/>
      <c r="U6" s="7"/>
    </row>
    <row r="7" spans="1:21" ht="15.75" customHeight="1" x14ac:dyDescent="0.25">
      <c r="A7" s="7"/>
      <c r="B7" s="7"/>
      <c r="C7" s="7"/>
      <c r="D7" s="7"/>
      <c r="E7" s="7"/>
      <c r="F7" s="7"/>
      <c r="G7" s="7"/>
      <c r="H7" s="7"/>
      <c r="I7" s="7"/>
      <c r="J7" s="7"/>
      <c r="K7" s="7"/>
      <c r="L7" s="7"/>
      <c r="M7" s="7"/>
      <c r="N7" s="7"/>
      <c r="O7" s="7"/>
      <c r="P7" s="7"/>
      <c r="Q7" s="7"/>
      <c r="R7" s="7"/>
      <c r="S7" s="7"/>
      <c r="T7" s="7"/>
      <c r="U7" s="7"/>
    </row>
    <row r="8" spans="1:21" ht="15.75" customHeight="1" x14ac:dyDescent="0.25">
      <c r="A8" s="7"/>
      <c r="B8" s="7"/>
      <c r="C8" s="7"/>
      <c r="D8" s="7"/>
      <c r="E8" s="7"/>
      <c r="F8" s="7"/>
      <c r="G8" s="7"/>
      <c r="H8" s="7"/>
      <c r="I8" s="7"/>
      <c r="J8" s="7"/>
      <c r="K8" s="7"/>
      <c r="L8" s="7"/>
      <c r="M8" s="7"/>
      <c r="N8" s="7"/>
      <c r="O8" s="7"/>
      <c r="P8" s="7"/>
      <c r="Q8" s="7"/>
      <c r="R8" s="7"/>
      <c r="S8" s="7"/>
      <c r="T8" s="7"/>
      <c r="U8" s="7"/>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8D81E-B798-4ACE-A55A-BBC317916E2E}">
  <sheetPr>
    <tabColor theme="1" tint="0.499984740745262"/>
  </sheetPr>
  <dimension ref="A1:C3"/>
  <sheetViews>
    <sheetView workbookViewId="0">
      <selection activeCell="B9" sqref="B9"/>
    </sheetView>
  </sheetViews>
  <sheetFormatPr defaultRowHeight="15" x14ac:dyDescent="0.25"/>
  <cols>
    <col min="1" max="1" width="16" bestFit="1" customWidth="1"/>
    <col min="2" max="3" width="41.5703125" bestFit="1" customWidth="1"/>
  </cols>
  <sheetData>
    <row r="1" spans="1:3" x14ac:dyDescent="0.25">
      <c r="A1" s="60" t="s">
        <v>270</v>
      </c>
      <c r="B1" s="60" t="s">
        <v>673</v>
      </c>
      <c r="C1" s="60" t="s">
        <v>674</v>
      </c>
    </row>
    <row r="2" spans="1:3" x14ac:dyDescent="0.25">
      <c r="A2" s="61" t="s">
        <v>675</v>
      </c>
      <c r="B2" s="62" t="s">
        <v>676</v>
      </c>
      <c r="C2" t="s">
        <v>677</v>
      </c>
    </row>
    <row r="3" spans="1:3" x14ac:dyDescent="0.25">
      <c r="A3" t="s">
        <v>678</v>
      </c>
      <c r="B3" s="62" t="s">
        <v>679</v>
      </c>
    </row>
  </sheetData>
  <hyperlinks>
    <hyperlink ref="B2" r:id="rId1" xr:uid="{DBE23AF4-F5A4-459B-B645-EA5587742E1C}"/>
  </hyperlinks>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703125" defaultRowHeight="15" x14ac:dyDescent="0.25"/>
  <cols>
    <col min="1" max="1" width="46.42578125" style="44" customWidth="1"/>
    <col min="2" max="4" width="48.85546875" style="44" customWidth="1"/>
  </cols>
  <sheetData>
    <row r="1" spans="1:20" ht="26.25" x14ac:dyDescent="0.4">
      <c r="A1" s="2" t="s">
        <v>266</v>
      </c>
      <c r="B1" s="3"/>
      <c r="C1" s="3"/>
      <c r="D1" s="3"/>
      <c r="E1" s="3"/>
      <c r="F1" s="3"/>
      <c r="G1" s="3"/>
      <c r="H1" s="3"/>
      <c r="I1" s="3"/>
      <c r="J1" s="3"/>
      <c r="K1" s="3"/>
      <c r="L1" s="3"/>
      <c r="M1" s="4"/>
      <c r="N1" s="4"/>
      <c r="O1" s="4"/>
      <c r="P1" s="4"/>
      <c r="Q1" s="4"/>
      <c r="R1" s="4"/>
      <c r="S1" s="4"/>
      <c r="T1" s="4"/>
    </row>
    <row r="2" spans="1:20" ht="15.75" x14ac:dyDescent="0.25">
      <c r="A2" s="6" t="s">
        <v>444</v>
      </c>
      <c r="B2" s="7"/>
      <c r="C2" s="7"/>
      <c r="D2" s="7"/>
      <c r="E2" s="7"/>
      <c r="F2" s="7"/>
      <c r="G2" s="7"/>
      <c r="H2" s="7"/>
      <c r="I2" s="7"/>
      <c r="J2" s="7"/>
      <c r="K2" s="7"/>
      <c r="L2" s="7"/>
      <c r="M2" s="8"/>
      <c r="N2" s="8"/>
      <c r="O2" s="8"/>
      <c r="P2" s="8"/>
      <c r="Q2" s="8"/>
      <c r="R2" s="8"/>
      <c r="S2" s="8"/>
      <c r="T2" s="8"/>
    </row>
    <row r="3" spans="1:20" ht="15.75" x14ac:dyDescent="0.25">
      <c r="A3" s="6"/>
      <c r="B3" s="7"/>
      <c r="C3" s="7"/>
      <c r="D3" s="7"/>
      <c r="E3" s="7"/>
      <c r="F3" s="7"/>
      <c r="G3" s="7"/>
      <c r="H3" s="7"/>
      <c r="I3" s="7"/>
      <c r="J3" s="7"/>
      <c r="K3" s="7"/>
      <c r="L3" s="7"/>
      <c r="M3" s="8"/>
      <c r="N3" s="8"/>
      <c r="O3" s="8"/>
      <c r="P3" s="8"/>
      <c r="Q3" s="8"/>
      <c r="R3" s="8"/>
      <c r="S3" s="8"/>
      <c r="T3" s="8"/>
    </row>
    <row r="4" spans="1:20" ht="28.5" customHeight="1" x14ac:dyDescent="0.25">
      <c r="A4" s="47" t="s">
        <v>445</v>
      </c>
      <c r="B4" s="47" t="s">
        <v>23</v>
      </c>
      <c r="C4" s="47" t="s">
        <v>446</v>
      </c>
      <c r="D4" s="47" t="s">
        <v>38</v>
      </c>
    </row>
    <row r="5" spans="1:20" s="49" customFormat="1" ht="15" customHeight="1" x14ac:dyDescent="0.25">
      <c r="A5" s="6" t="s">
        <v>447</v>
      </c>
      <c r="B5" s="48"/>
      <c r="C5" s="48"/>
      <c r="D5" s="48"/>
    </row>
    <row r="6" spans="1:20" s="49" customFormat="1" ht="30" x14ac:dyDescent="0.25">
      <c r="A6" s="50" t="s">
        <v>448</v>
      </c>
      <c r="B6" s="50" t="s">
        <v>449</v>
      </c>
      <c r="C6" s="50" t="s">
        <v>450</v>
      </c>
      <c r="D6" s="50" t="s">
        <v>262</v>
      </c>
    </row>
    <row r="7" spans="1:20" s="49" customFormat="1" ht="30" x14ac:dyDescent="0.25">
      <c r="A7" s="50" t="s">
        <v>451</v>
      </c>
      <c r="B7" s="50" t="s">
        <v>452</v>
      </c>
      <c r="C7" s="50" t="s">
        <v>453</v>
      </c>
      <c r="D7" s="50" t="s">
        <v>262</v>
      </c>
    </row>
    <row r="8" spans="1:20" s="49" customFormat="1" ht="30" x14ac:dyDescent="0.25">
      <c r="A8" s="50" t="s">
        <v>454</v>
      </c>
      <c r="B8" s="50" t="s">
        <v>455</v>
      </c>
      <c r="C8" s="50" t="s">
        <v>456</v>
      </c>
      <c r="D8" s="50" t="s">
        <v>262</v>
      </c>
    </row>
    <row r="9" spans="1:20" s="49" customFormat="1" ht="30" x14ac:dyDescent="0.25">
      <c r="A9" s="50" t="s">
        <v>457</v>
      </c>
      <c r="B9" s="50" t="s">
        <v>458</v>
      </c>
      <c r="C9" s="50" t="s">
        <v>459</v>
      </c>
      <c r="D9" s="50" t="s">
        <v>460</v>
      </c>
    </row>
    <row r="10" spans="1:20" s="49" customFormat="1" x14ac:dyDescent="0.25">
      <c r="A10" s="50" t="s">
        <v>461</v>
      </c>
      <c r="B10" s="50" t="s">
        <v>462</v>
      </c>
      <c r="C10" s="50">
        <v>16</v>
      </c>
      <c r="D10" s="50" t="s">
        <v>262</v>
      </c>
    </row>
    <row r="11" spans="1:20" s="49" customFormat="1" x14ac:dyDescent="0.25">
      <c r="A11" s="50" t="s">
        <v>463</v>
      </c>
      <c r="B11" s="50" t="s">
        <v>464</v>
      </c>
      <c r="C11" s="50" t="s">
        <v>465</v>
      </c>
      <c r="D11" s="50" t="s">
        <v>262</v>
      </c>
    </row>
    <row r="12" spans="1:20" s="49" customFormat="1" ht="30" x14ac:dyDescent="0.25">
      <c r="A12" s="50" t="s">
        <v>466</v>
      </c>
      <c r="B12" s="50" t="s">
        <v>467</v>
      </c>
      <c r="C12" s="50" t="s">
        <v>465</v>
      </c>
      <c r="D12" s="50" t="s">
        <v>262</v>
      </c>
    </row>
    <row r="13" spans="1:20" s="49" customFormat="1" ht="30" x14ac:dyDescent="0.25">
      <c r="A13" s="50" t="s">
        <v>468</v>
      </c>
      <c r="B13" s="50" t="s">
        <v>469</v>
      </c>
      <c r="C13" s="50" t="s">
        <v>470</v>
      </c>
      <c r="D13" s="50" t="s">
        <v>262</v>
      </c>
    </row>
    <row r="14" spans="1:20" s="49" customFormat="1" ht="30" x14ac:dyDescent="0.25">
      <c r="A14" s="50" t="s">
        <v>471</v>
      </c>
      <c r="B14" s="50" t="s">
        <v>472</v>
      </c>
      <c r="C14" s="50" t="s">
        <v>473</v>
      </c>
      <c r="D14" s="50" t="s">
        <v>460</v>
      </c>
    </row>
    <row r="15" spans="1:20" s="49" customFormat="1" x14ac:dyDescent="0.25">
      <c r="A15" s="50" t="s">
        <v>474</v>
      </c>
      <c r="B15" s="50" t="s">
        <v>475</v>
      </c>
      <c r="C15" s="50" t="s">
        <v>476</v>
      </c>
      <c r="D15" s="50" t="s">
        <v>262</v>
      </c>
    </row>
    <row r="16" spans="1:20" s="49" customFormat="1" x14ac:dyDescent="0.25">
      <c r="A16" s="50" t="s">
        <v>477</v>
      </c>
      <c r="B16" s="50" t="s">
        <v>478</v>
      </c>
      <c r="C16" s="50" t="s">
        <v>479</v>
      </c>
      <c r="D16" s="50" t="s">
        <v>262</v>
      </c>
    </row>
    <row r="17" spans="1:20" s="49" customFormat="1" x14ac:dyDescent="0.25">
      <c r="A17" s="50" t="s">
        <v>480</v>
      </c>
      <c r="B17" s="50" t="s">
        <v>481</v>
      </c>
      <c r="C17" s="50" t="s">
        <v>479</v>
      </c>
      <c r="D17" s="50" t="s">
        <v>262</v>
      </c>
    </row>
    <row r="18" spans="1:20" s="49" customFormat="1" ht="30" x14ac:dyDescent="0.25">
      <c r="A18" s="50" t="s">
        <v>482</v>
      </c>
      <c r="B18" s="50" t="s">
        <v>483</v>
      </c>
      <c r="C18" s="50" t="s">
        <v>479</v>
      </c>
      <c r="D18" s="50" t="s">
        <v>262</v>
      </c>
    </row>
    <row r="19" spans="1:20" s="49" customFormat="1" ht="45" x14ac:dyDescent="0.25">
      <c r="A19" s="50" t="s">
        <v>484</v>
      </c>
      <c r="B19" s="50" t="s">
        <v>485</v>
      </c>
      <c r="C19" s="50" t="s">
        <v>486</v>
      </c>
      <c r="D19" s="50" t="s">
        <v>262</v>
      </c>
    </row>
    <row r="20" spans="1:20" s="49" customFormat="1" ht="30" x14ac:dyDescent="0.25">
      <c r="A20" s="50" t="s">
        <v>487</v>
      </c>
      <c r="B20" s="50" t="s">
        <v>488</v>
      </c>
      <c r="C20" s="50" t="s">
        <v>489</v>
      </c>
      <c r="D20" s="50" t="s">
        <v>460</v>
      </c>
    </row>
    <row r="21" spans="1:20" s="49" customFormat="1" ht="75" x14ac:dyDescent="0.25">
      <c r="A21" s="50" t="s">
        <v>490</v>
      </c>
      <c r="B21" s="50" t="s">
        <v>491</v>
      </c>
      <c r="C21" s="50" t="s">
        <v>492</v>
      </c>
      <c r="D21" s="50" t="s">
        <v>262</v>
      </c>
    </row>
    <row r="22" spans="1:20" s="49" customFormat="1" ht="60" x14ac:dyDescent="0.25">
      <c r="A22" s="50" t="s">
        <v>493</v>
      </c>
      <c r="B22" s="50" t="s">
        <v>494</v>
      </c>
      <c r="C22" s="50">
        <v>0.3</v>
      </c>
      <c r="D22" s="50" t="s">
        <v>262</v>
      </c>
    </row>
    <row r="23" spans="1:20" s="49" customFormat="1" ht="60" x14ac:dyDescent="0.25">
      <c r="A23" s="50" t="s">
        <v>495</v>
      </c>
      <c r="B23" s="50" t="s">
        <v>496</v>
      </c>
      <c r="C23" s="50" t="s">
        <v>497</v>
      </c>
      <c r="D23" s="50" t="s">
        <v>262</v>
      </c>
    </row>
    <row r="24" spans="1:20" s="49" customFormat="1" ht="12.75" customHeight="1" x14ac:dyDescent="0.25">
      <c r="A24" s="50" t="s">
        <v>498</v>
      </c>
      <c r="B24" s="50" t="s">
        <v>499</v>
      </c>
      <c r="C24" s="50">
        <v>0.33</v>
      </c>
      <c r="D24" s="50" t="s">
        <v>262</v>
      </c>
    </row>
    <row r="25" spans="1:20" s="49" customFormat="1" ht="15" customHeight="1" x14ac:dyDescent="0.25">
      <c r="A25" s="6" t="s">
        <v>500</v>
      </c>
      <c r="B25" s="48"/>
      <c r="C25" s="48"/>
      <c r="D25" s="48"/>
    </row>
    <row r="26" spans="1:20" s="49" customFormat="1" ht="45" x14ac:dyDescent="0.25">
      <c r="A26" s="50" t="s">
        <v>501</v>
      </c>
      <c r="B26" s="50" t="s">
        <v>502</v>
      </c>
      <c r="C26" s="50" t="s">
        <v>503</v>
      </c>
      <c r="D26" s="50" t="s">
        <v>504</v>
      </c>
    </row>
    <row r="27" spans="1:20" ht="30" x14ac:dyDescent="0.25">
      <c r="A27" s="50" t="s">
        <v>505</v>
      </c>
      <c r="B27" s="50" t="s">
        <v>506</v>
      </c>
      <c r="C27" s="50" t="s">
        <v>507</v>
      </c>
      <c r="D27" s="50" t="s">
        <v>460</v>
      </c>
      <c r="E27" s="49"/>
      <c r="F27" s="49"/>
      <c r="G27" s="49"/>
      <c r="H27" s="49"/>
      <c r="I27" s="49"/>
      <c r="J27" s="49"/>
      <c r="K27" s="49"/>
      <c r="L27" s="49"/>
      <c r="M27" s="49"/>
      <c r="N27" s="49"/>
      <c r="O27" s="49"/>
      <c r="P27" s="49"/>
      <c r="Q27" s="49"/>
      <c r="R27" s="49"/>
      <c r="S27" s="49"/>
      <c r="T27" s="49"/>
    </row>
    <row r="28" spans="1:20" x14ac:dyDescent="0.25">
      <c r="A28" s="50" t="s">
        <v>508</v>
      </c>
      <c r="B28" s="50" t="s">
        <v>509</v>
      </c>
      <c r="C28" s="50" t="s">
        <v>510</v>
      </c>
      <c r="D28" s="50" t="s">
        <v>262</v>
      </c>
      <c r="E28" s="49"/>
      <c r="F28" s="49"/>
      <c r="G28" s="49"/>
      <c r="H28" s="49"/>
      <c r="I28" s="49"/>
      <c r="J28" s="49"/>
      <c r="K28" s="49"/>
      <c r="L28" s="49"/>
      <c r="M28" s="49"/>
      <c r="N28" s="49"/>
      <c r="O28" s="49"/>
      <c r="P28" s="49"/>
      <c r="Q28" s="49"/>
      <c r="R28" s="49"/>
      <c r="S28" s="49"/>
      <c r="T28" s="49"/>
    </row>
    <row r="29" spans="1:20" x14ac:dyDescent="0.25">
      <c r="A29" s="50" t="s">
        <v>511</v>
      </c>
      <c r="B29" s="50" t="s">
        <v>512</v>
      </c>
      <c r="C29" s="50" t="s">
        <v>513</v>
      </c>
      <c r="D29" s="50" t="s">
        <v>262</v>
      </c>
      <c r="E29" s="49"/>
      <c r="F29" s="49"/>
      <c r="G29" s="49"/>
      <c r="H29" s="49"/>
      <c r="I29" s="49"/>
      <c r="J29" s="49"/>
      <c r="K29" s="49"/>
      <c r="L29" s="49"/>
      <c r="M29" s="49"/>
      <c r="N29" s="49"/>
      <c r="O29" s="49"/>
      <c r="P29" s="49"/>
      <c r="Q29" s="49"/>
      <c r="R29" s="49"/>
      <c r="S29" s="49"/>
      <c r="T29" s="49"/>
    </row>
    <row r="30" spans="1:20" x14ac:dyDescent="0.25">
      <c r="A30" s="50" t="s">
        <v>514</v>
      </c>
      <c r="B30" s="50" t="s">
        <v>515</v>
      </c>
      <c r="C30" s="50" t="s">
        <v>516</v>
      </c>
      <c r="D30" s="50" t="s">
        <v>262</v>
      </c>
      <c r="E30" s="49"/>
      <c r="F30" s="49"/>
      <c r="G30" s="49"/>
      <c r="H30" s="49"/>
      <c r="I30" s="49"/>
      <c r="J30" s="49"/>
      <c r="K30" s="49"/>
      <c r="L30" s="49"/>
      <c r="M30" s="49"/>
      <c r="N30" s="49"/>
      <c r="O30" s="49"/>
      <c r="P30" s="49"/>
      <c r="Q30" s="49"/>
      <c r="R30" s="49"/>
      <c r="S30" s="49"/>
      <c r="T30" s="49"/>
    </row>
    <row r="31" spans="1:20" ht="30" x14ac:dyDescent="0.25">
      <c r="A31" s="50" t="s">
        <v>517</v>
      </c>
      <c r="B31" s="50" t="s">
        <v>518</v>
      </c>
      <c r="C31" s="50" t="s">
        <v>519</v>
      </c>
      <c r="D31" s="50" t="s">
        <v>520</v>
      </c>
      <c r="E31" s="49"/>
      <c r="F31" s="49"/>
      <c r="G31" s="49"/>
      <c r="H31" s="49"/>
      <c r="I31" s="49"/>
      <c r="J31" s="49"/>
      <c r="K31" s="49"/>
      <c r="L31" s="49"/>
      <c r="M31" s="49"/>
      <c r="N31" s="49"/>
      <c r="O31" s="49"/>
      <c r="P31" s="49"/>
      <c r="Q31" s="49"/>
      <c r="R31" s="49"/>
      <c r="S31" s="49"/>
      <c r="T31" s="49"/>
    </row>
    <row r="32" spans="1:20" x14ac:dyDescent="0.25">
      <c r="A32" s="50" t="s">
        <v>521</v>
      </c>
      <c r="B32" s="50" t="s">
        <v>522</v>
      </c>
      <c r="C32" s="50" t="s">
        <v>523</v>
      </c>
      <c r="D32" s="50" t="s">
        <v>524</v>
      </c>
      <c r="E32" s="49"/>
      <c r="F32" s="49"/>
      <c r="G32" s="49"/>
      <c r="H32" s="49"/>
      <c r="I32" s="49"/>
      <c r="J32" s="49"/>
      <c r="K32" s="49"/>
      <c r="L32" s="49"/>
      <c r="M32" s="49"/>
      <c r="N32" s="49"/>
      <c r="O32" s="49"/>
      <c r="P32" s="49"/>
      <c r="Q32" s="49"/>
      <c r="R32" s="49"/>
      <c r="S32" s="49"/>
      <c r="T32" s="49"/>
    </row>
    <row r="33" spans="1:20" ht="30" x14ac:dyDescent="0.25">
      <c r="A33" s="50" t="s">
        <v>525</v>
      </c>
      <c r="B33" s="50" t="s">
        <v>526</v>
      </c>
      <c r="C33" s="50"/>
      <c r="D33" s="50" t="s">
        <v>460</v>
      </c>
      <c r="E33" s="49"/>
      <c r="F33" s="49"/>
      <c r="G33" s="49"/>
      <c r="H33" s="49"/>
      <c r="I33" s="49"/>
      <c r="J33" s="49"/>
      <c r="K33" s="49"/>
      <c r="L33" s="49"/>
      <c r="M33" s="49"/>
      <c r="N33" s="49"/>
      <c r="O33" s="49"/>
      <c r="P33" s="49"/>
      <c r="Q33" s="49"/>
      <c r="R33" s="49"/>
      <c r="S33" s="49"/>
      <c r="T33" s="49"/>
    </row>
    <row r="34" spans="1:20" ht="45" x14ac:dyDescent="0.25">
      <c r="A34" s="50" t="s">
        <v>527</v>
      </c>
      <c r="B34" s="50" t="s">
        <v>528</v>
      </c>
      <c r="C34" s="50" t="s">
        <v>529</v>
      </c>
      <c r="D34" s="50" t="s">
        <v>460</v>
      </c>
      <c r="E34" s="49"/>
      <c r="F34" s="49"/>
      <c r="G34" s="49"/>
      <c r="H34" s="49"/>
      <c r="I34" s="49"/>
      <c r="J34" s="49"/>
      <c r="K34" s="49"/>
      <c r="L34" s="49"/>
      <c r="M34" s="49"/>
      <c r="N34" s="49"/>
      <c r="O34" s="49"/>
      <c r="P34" s="49"/>
      <c r="Q34" s="49"/>
      <c r="R34" s="49"/>
      <c r="S34" s="49"/>
      <c r="T34" s="49"/>
    </row>
    <row r="35" spans="1:20" ht="60" x14ac:dyDescent="0.25">
      <c r="A35" s="50" t="s">
        <v>530</v>
      </c>
      <c r="B35" s="50" t="s">
        <v>531</v>
      </c>
      <c r="C35" s="50" t="s">
        <v>532</v>
      </c>
      <c r="D35" s="50" t="s">
        <v>262</v>
      </c>
      <c r="E35" s="49"/>
      <c r="F35" s="49"/>
      <c r="G35" s="49"/>
      <c r="H35" s="49"/>
      <c r="I35" s="49"/>
      <c r="J35" s="49"/>
      <c r="K35" s="49"/>
      <c r="L35" s="49"/>
      <c r="M35" s="49"/>
      <c r="N35" s="49"/>
      <c r="O35" s="49"/>
      <c r="P35" s="49"/>
      <c r="Q35" s="49"/>
      <c r="R35" s="49"/>
      <c r="S35" s="49"/>
      <c r="T35" s="49"/>
    </row>
    <row r="36" spans="1:20" x14ac:dyDescent="0.25">
      <c r="A36" s="50" t="s">
        <v>533</v>
      </c>
      <c r="B36" s="50" t="s">
        <v>534</v>
      </c>
      <c r="C36" s="50" t="s">
        <v>535</v>
      </c>
      <c r="D36" s="50" t="s">
        <v>262</v>
      </c>
      <c r="E36" s="49"/>
      <c r="F36" s="49"/>
      <c r="G36" s="49"/>
      <c r="H36" s="49"/>
      <c r="I36" s="49"/>
      <c r="J36" s="49"/>
      <c r="K36" s="49"/>
      <c r="L36" s="49"/>
      <c r="M36" s="49"/>
      <c r="N36" s="49"/>
      <c r="O36" s="49"/>
      <c r="P36" s="49"/>
      <c r="Q36" s="49"/>
      <c r="R36" s="49"/>
      <c r="S36" s="49"/>
      <c r="T36" s="49"/>
    </row>
    <row r="37" spans="1:20" ht="60" x14ac:dyDescent="0.25">
      <c r="A37" s="50" t="s">
        <v>536</v>
      </c>
      <c r="B37" s="50" t="s">
        <v>537</v>
      </c>
      <c r="C37" s="50" t="s">
        <v>538</v>
      </c>
      <c r="D37" s="50" t="s">
        <v>262</v>
      </c>
      <c r="E37" s="49"/>
      <c r="F37" s="49"/>
      <c r="G37" s="49"/>
      <c r="H37" s="49"/>
      <c r="I37" s="49"/>
      <c r="J37" s="49"/>
      <c r="K37" s="49"/>
      <c r="L37" s="49"/>
      <c r="M37" s="49"/>
      <c r="N37" s="49"/>
      <c r="O37" s="49"/>
      <c r="P37" s="49"/>
      <c r="Q37" s="49"/>
      <c r="R37" s="49"/>
      <c r="S37" s="49"/>
      <c r="T37" s="49"/>
    </row>
    <row r="38" spans="1:20" ht="30" x14ac:dyDescent="0.25">
      <c r="A38" s="50" t="s">
        <v>539</v>
      </c>
      <c r="B38" s="50" t="s">
        <v>540</v>
      </c>
      <c r="C38" s="50" t="s">
        <v>541</v>
      </c>
      <c r="D38" s="50" t="s">
        <v>262</v>
      </c>
      <c r="E38" s="49"/>
      <c r="F38" s="49"/>
      <c r="G38" s="49"/>
      <c r="H38" s="49"/>
      <c r="I38" s="49"/>
      <c r="J38" s="49"/>
      <c r="K38" s="49"/>
      <c r="L38" s="49"/>
      <c r="M38" s="49"/>
      <c r="N38" s="49"/>
      <c r="O38" s="49"/>
      <c r="P38" s="49"/>
      <c r="Q38" s="49"/>
      <c r="R38" s="49"/>
      <c r="S38" s="49"/>
      <c r="T38" s="49"/>
    </row>
    <row r="39" spans="1:20" ht="12.75" customHeight="1" x14ac:dyDescent="0.25">
      <c r="A39" s="50" t="s">
        <v>542</v>
      </c>
      <c r="B39" s="50" t="s">
        <v>543</v>
      </c>
      <c r="C39" s="50" t="s">
        <v>532</v>
      </c>
      <c r="D39" s="50" t="s">
        <v>262</v>
      </c>
      <c r="E39" s="49"/>
      <c r="F39" s="49"/>
      <c r="G39" s="49"/>
      <c r="H39" s="49"/>
      <c r="I39" s="49"/>
      <c r="J39" s="49"/>
      <c r="K39" s="49"/>
      <c r="L39" s="49"/>
      <c r="M39" s="49"/>
      <c r="N39" s="49"/>
      <c r="O39" s="49"/>
      <c r="P39" s="49"/>
      <c r="Q39" s="49"/>
      <c r="R39" s="49"/>
      <c r="S39" s="49"/>
      <c r="T39" s="49"/>
    </row>
    <row r="40" spans="1:20" ht="15" customHeight="1" x14ac:dyDescent="0.25">
      <c r="A40" s="6" t="s">
        <v>544</v>
      </c>
      <c r="B40" s="48"/>
      <c r="C40" s="48"/>
      <c r="D40" s="48"/>
      <c r="E40" s="49"/>
      <c r="F40" s="49"/>
      <c r="G40" s="49"/>
      <c r="H40" s="49"/>
      <c r="I40" s="49"/>
      <c r="J40" s="49"/>
      <c r="K40" s="49"/>
      <c r="L40" s="49"/>
      <c r="M40" s="49"/>
      <c r="N40" s="49"/>
      <c r="O40" s="49"/>
      <c r="P40" s="49"/>
      <c r="Q40" s="49"/>
      <c r="R40" s="49"/>
      <c r="S40" s="49"/>
      <c r="T40" s="49"/>
    </row>
    <row r="41" spans="1:20" x14ac:dyDescent="0.25">
      <c r="A41" s="50" t="s">
        <v>545</v>
      </c>
      <c r="B41" s="50" t="s">
        <v>546</v>
      </c>
      <c r="C41" s="50" t="s">
        <v>547</v>
      </c>
      <c r="D41" s="50" t="s">
        <v>548</v>
      </c>
      <c r="E41" s="49"/>
      <c r="F41" s="49"/>
      <c r="G41" s="49"/>
      <c r="H41" s="49"/>
      <c r="I41" s="49"/>
      <c r="J41" s="49"/>
      <c r="K41" s="49"/>
      <c r="L41" s="49"/>
      <c r="M41" s="49"/>
      <c r="N41" s="49"/>
      <c r="O41" s="49"/>
      <c r="P41" s="49"/>
      <c r="Q41" s="49"/>
      <c r="R41" s="49"/>
      <c r="S41" s="49"/>
      <c r="T41" s="49"/>
    </row>
    <row r="42" spans="1:20" ht="30" x14ac:dyDescent="0.25">
      <c r="A42" s="50" t="s">
        <v>549</v>
      </c>
      <c r="B42" s="50" t="s">
        <v>550</v>
      </c>
      <c r="C42" s="50" t="s">
        <v>551</v>
      </c>
      <c r="D42" s="50" t="s">
        <v>552</v>
      </c>
      <c r="E42" s="49"/>
      <c r="F42" s="49"/>
      <c r="G42" s="49"/>
      <c r="H42" s="49"/>
      <c r="I42" s="49"/>
      <c r="J42" s="49"/>
      <c r="K42" s="49"/>
      <c r="L42" s="49"/>
      <c r="M42" s="49"/>
      <c r="N42" s="49"/>
      <c r="O42" s="49"/>
      <c r="P42" s="49"/>
      <c r="Q42" s="49"/>
      <c r="R42" s="49"/>
      <c r="S42" s="49"/>
      <c r="T42" s="49"/>
    </row>
    <row r="43" spans="1:20" ht="30" x14ac:dyDescent="0.25">
      <c r="A43" s="50" t="s">
        <v>553</v>
      </c>
      <c r="B43" s="50" t="s">
        <v>554</v>
      </c>
      <c r="C43" s="50" t="s">
        <v>555</v>
      </c>
      <c r="D43" s="50" t="s">
        <v>556</v>
      </c>
      <c r="E43" s="49"/>
      <c r="F43" s="49"/>
      <c r="G43" s="49"/>
      <c r="H43" s="49"/>
      <c r="I43" s="49"/>
      <c r="J43" s="49"/>
      <c r="K43" s="49"/>
      <c r="L43" s="49"/>
      <c r="M43" s="49"/>
      <c r="N43" s="49"/>
      <c r="O43" s="49"/>
      <c r="P43" s="49"/>
      <c r="Q43" s="49"/>
      <c r="R43" s="49"/>
      <c r="S43" s="49"/>
      <c r="T43" s="49"/>
    </row>
    <row r="44" spans="1:20" ht="30" x14ac:dyDescent="0.25">
      <c r="A44" s="50" t="s">
        <v>557</v>
      </c>
      <c r="B44" s="50" t="s">
        <v>558</v>
      </c>
      <c r="C44" s="50" t="s">
        <v>547</v>
      </c>
      <c r="D44" s="50" t="s">
        <v>548</v>
      </c>
      <c r="E44" s="49"/>
      <c r="F44" s="49"/>
      <c r="G44" s="49"/>
      <c r="H44" s="49"/>
      <c r="I44" s="49"/>
      <c r="J44" s="49"/>
      <c r="K44" s="49"/>
      <c r="L44" s="49"/>
      <c r="M44" s="49"/>
      <c r="N44" s="49"/>
      <c r="O44" s="49"/>
      <c r="P44" s="49"/>
      <c r="Q44" s="49"/>
      <c r="R44" s="49"/>
      <c r="S44" s="49"/>
      <c r="T44" s="49"/>
    </row>
    <row r="45" spans="1:20" ht="30" x14ac:dyDescent="0.25">
      <c r="A45" s="50" t="s">
        <v>559</v>
      </c>
      <c r="B45" s="50" t="s">
        <v>559</v>
      </c>
      <c r="C45" s="50" t="s">
        <v>551</v>
      </c>
      <c r="D45" s="50" t="s">
        <v>552</v>
      </c>
      <c r="E45" s="49"/>
      <c r="F45" s="49"/>
      <c r="G45" s="49"/>
      <c r="H45" s="49"/>
      <c r="I45" s="49"/>
      <c r="J45" s="49"/>
      <c r="K45" s="49"/>
      <c r="L45" s="49"/>
      <c r="M45" s="49"/>
      <c r="N45" s="49"/>
      <c r="O45" s="49"/>
      <c r="P45" s="49"/>
      <c r="Q45" s="49"/>
      <c r="R45" s="49"/>
      <c r="S45" s="49"/>
      <c r="T45" s="49"/>
    </row>
    <row r="46" spans="1:20" x14ac:dyDescent="0.25">
      <c r="A46" s="50" t="s">
        <v>560</v>
      </c>
      <c r="B46" s="50" t="s">
        <v>561</v>
      </c>
      <c r="C46" s="50" t="s">
        <v>510</v>
      </c>
      <c r="D46" s="50" t="s">
        <v>262</v>
      </c>
      <c r="E46" s="49"/>
      <c r="F46" s="49"/>
      <c r="G46" s="49"/>
      <c r="H46" s="49"/>
      <c r="I46" s="49"/>
      <c r="J46" s="49"/>
      <c r="K46" s="49"/>
      <c r="L46" s="49"/>
      <c r="M46" s="49"/>
      <c r="N46" s="49"/>
      <c r="O46" s="49"/>
      <c r="P46" s="49"/>
      <c r="Q46" s="49"/>
      <c r="R46" s="49"/>
      <c r="S46" s="49"/>
      <c r="T46" s="49"/>
    </row>
    <row r="47" spans="1:20" x14ac:dyDescent="0.25">
      <c r="A47" s="50" t="s">
        <v>562</v>
      </c>
      <c r="B47" s="50" t="s">
        <v>563</v>
      </c>
      <c r="C47" s="50" t="s">
        <v>564</v>
      </c>
      <c r="D47" s="50" t="s">
        <v>262</v>
      </c>
      <c r="E47" s="49"/>
      <c r="F47" s="49"/>
      <c r="G47" s="49"/>
      <c r="H47" s="49"/>
      <c r="I47" s="49"/>
      <c r="J47" s="49"/>
      <c r="K47" s="49"/>
      <c r="L47" s="49"/>
      <c r="M47" s="49"/>
      <c r="N47" s="49"/>
      <c r="O47" s="49"/>
      <c r="P47" s="49"/>
      <c r="Q47" s="49"/>
      <c r="R47" s="49"/>
      <c r="S47" s="49"/>
      <c r="T47" s="49"/>
    </row>
    <row r="48" spans="1:20" ht="30" x14ac:dyDescent="0.25">
      <c r="A48" s="50" t="s">
        <v>565</v>
      </c>
      <c r="B48" s="50" t="s">
        <v>566</v>
      </c>
      <c r="C48" s="50" t="s">
        <v>567</v>
      </c>
      <c r="D48" s="50" t="s">
        <v>460</v>
      </c>
      <c r="E48" s="49"/>
      <c r="F48" s="49"/>
      <c r="G48" s="49"/>
      <c r="H48" s="49"/>
      <c r="I48" s="49"/>
      <c r="J48" s="49"/>
      <c r="K48" s="49"/>
      <c r="L48" s="49"/>
      <c r="M48" s="49"/>
      <c r="N48" s="49"/>
      <c r="O48" s="49"/>
      <c r="P48" s="49"/>
      <c r="Q48" s="49"/>
      <c r="R48" s="49"/>
      <c r="S48" s="49"/>
      <c r="T48" s="49"/>
    </row>
    <row r="49" spans="1:20" ht="30" x14ac:dyDescent="0.25">
      <c r="A49" s="50" t="s">
        <v>568</v>
      </c>
      <c r="B49" s="50" t="s">
        <v>569</v>
      </c>
      <c r="C49" s="50" t="s">
        <v>547</v>
      </c>
      <c r="D49" s="50" t="s">
        <v>548</v>
      </c>
      <c r="E49" s="49"/>
      <c r="F49" s="49"/>
      <c r="G49" s="49"/>
      <c r="H49" s="49"/>
      <c r="I49" s="49"/>
      <c r="J49" s="49"/>
      <c r="K49" s="49"/>
      <c r="L49" s="49"/>
      <c r="M49" s="49"/>
      <c r="N49" s="49"/>
      <c r="O49" s="49"/>
      <c r="P49" s="49"/>
      <c r="Q49" s="49"/>
      <c r="R49" s="49"/>
      <c r="S49" s="49"/>
      <c r="T49" s="49"/>
    </row>
    <row r="50" spans="1:20" ht="30" x14ac:dyDescent="0.25">
      <c r="A50" s="50" t="s">
        <v>570</v>
      </c>
      <c r="B50" s="50" t="s">
        <v>571</v>
      </c>
      <c r="C50" s="50" t="s">
        <v>572</v>
      </c>
      <c r="D50" s="50" t="s">
        <v>262</v>
      </c>
      <c r="E50" s="49"/>
      <c r="F50" s="49"/>
      <c r="G50" s="49"/>
      <c r="H50" s="49"/>
      <c r="I50" s="49"/>
      <c r="J50" s="49"/>
      <c r="K50" s="49"/>
      <c r="L50" s="49"/>
      <c r="M50" s="49"/>
      <c r="N50" s="49"/>
      <c r="O50" s="49"/>
      <c r="P50" s="49"/>
      <c r="Q50" s="49"/>
      <c r="R50" s="49"/>
      <c r="S50" s="49"/>
      <c r="T50" s="49"/>
    </row>
    <row r="51" spans="1:20" ht="12.75" customHeight="1" x14ac:dyDescent="0.25"/>
    <row r="52" spans="1:20" ht="12.75" customHeight="1" x14ac:dyDescent="0.25"/>
    <row r="53" spans="1:20" ht="12.75" customHeight="1" x14ac:dyDescent="0.25"/>
    <row r="54" spans="1:20" ht="12.75" customHeight="1" x14ac:dyDescent="0.25"/>
    <row r="55" spans="1:20" ht="12.75" customHeight="1" x14ac:dyDescent="0.25"/>
    <row r="56" spans="1:20" ht="12.75" customHeight="1" x14ac:dyDescent="0.25"/>
    <row r="57" spans="1:20" ht="12.75" customHeight="1" x14ac:dyDescent="0.25"/>
    <row r="58" spans="1:20" ht="12.75" customHeight="1" x14ac:dyDescent="0.25"/>
    <row r="59" spans="1:20" ht="12.75" customHeight="1" x14ac:dyDescent="0.25"/>
    <row r="60" spans="1:20" ht="12.75" customHeight="1" x14ac:dyDescent="0.25"/>
    <row r="61" spans="1:20" ht="12.75" customHeight="1" x14ac:dyDescent="0.25"/>
    <row r="62" spans="1:20" ht="12.75" customHeight="1" x14ac:dyDescent="0.25"/>
    <row r="63" spans="1:20" ht="12.75" customHeight="1" x14ac:dyDescent="0.25"/>
    <row r="64" spans="1:2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sheetData>
  <pageMargins left="0.7" right="0.7" top="0.75" bottom="0.75"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703125" defaultRowHeight="15" x14ac:dyDescent="0.25"/>
  <cols>
    <col min="1" max="1" width="42.42578125" customWidth="1"/>
    <col min="2" max="2" width="68.5703125" customWidth="1"/>
    <col min="3" max="3" width="46.85546875" customWidth="1"/>
    <col min="4" max="4" width="43" customWidth="1"/>
  </cols>
  <sheetData>
    <row r="1" spans="1:20" ht="26.25" x14ac:dyDescent="0.4">
      <c r="A1" s="2" t="s">
        <v>573</v>
      </c>
      <c r="B1" s="3"/>
      <c r="C1" s="3"/>
      <c r="D1" s="3"/>
      <c r="E1" s="3"/>
      <c r="F1" s="3"/>
      <c r="G1" s="3"/>
      <c r="H1" s="3"/>
      <c r="I1" s="3"/>
      <c r="J1" s="3"/>
      <c r="K1" s="3"/>
      <c r="L1" s="3"/>
      <c r="M1" s="4"/>
      <c r="N1" s="4"/>
      <c r="O1" s="4"/>
      <c r="P1" s="4"/>
      <c r="Q1" s="4"/>
      <c r="R1" s="4"/>
      <c r="S1" s="4"/>
      <c r="T1" s="4"/>
    </row>
    <row r="2" spans="1:20" ht="15.75" x14ac:dyDescent="0.25">
      <c r="A2" s="6" t="s">
        <v>443</v>
      </c>
      <c r="B2" s="7"/>
      <c r="C2" s="7"/>
      <c r="D2" s="7"/>
      <c r="E2" s="7"/>
      <c r="F2" s="7"/>
      <c r="G2" s="7"/>
      <c r="H2" s="7"/>
      <c r="I2" s="7"/>
      <c r="J2" s="7"/>
      <c r="K2" s="7"/>
      <c r="L2" s="7"/>
      <c r="M2" s="8"/>
      <c r="N2" s="8"/>
      <c r="O2" s="8"/>
      <c r="P2" s="8"/>
      <c r="Q2" s="8"/>
      <c r="R2" s="8"/>
      <c r="S2" s="8"/>
      <c r="T2" s="8"/>
    </row>
    <row r="3" spans="1:20" ht="15.75" x14ac:dyDescent="0.25">
      <c r="A3" s="6"/>
      <c r="B3" s="7"/>
      <c r="C3" s="7"/>
      <c r="D3" s="7"/>
      <c r="E3" s="7"/>
      <c r="F3" s="7"/>
      <c r="G3" s="7"/>
      <c r="H3" s="7"/>
      <c r="I3" s="7"/>
      <c r="J3" s="7"/>
      <c r="K3" s="7"/>
      <c r="L3" s="7"/>
      <c r="M3" s="8"/>
      <c r="N3" s="8"/>
      <c r="O3" s="8"/>
      <c r="P3" s="8"/>
      <c r="Q3" s="8"/>
      <c r="R3" s="8"/>
      <c r="S3" s="8"/>
      <c r="T3" s="8"/>
    </row>
    <row r="4" spans="1:20" ht="28.5" customHeight="1" x14ac:dyDescent="0.25">
      <c r="A4" s="47" t="s">
        <v>574</v>
      </c>
      <c r="B4" s="47" t="s">
        <v>23</v>
      </c>
      <c r="C4" s="47" t="s">
        <v>575</v>
      </c>
      <c r="D4" s="47" t="s">
        <v>38</v>
      </c>
    </row>
    <row r="5" spans="1:20" ht="30" x14ac:dyDescent="0.25">
      <c r="A5" s="50" t="s">
        <v>576</v>
      </c>
      <c r="B5" s="50" t="s">
        <v>577</v>
      </c>
      <c r="C5" s="50" t="s">
        <v>578</v>
      </c>
      <c r="D5" s="50" t="s">
        <v>579</v>
      </c>
    </row>
    <row r="6" spans="1:20" ht="45" x14ac:dyDescent="0.25">
      <c r="A6" s="50" t="s">
        <v>580</v>
      </c>
      <c r="B6" s="50" t="s">
        <v>581</v>
      </c>
      <c r="C6" s="50" t="s">
        <v>582</v>
      </c>
      <c r="D6" s="50" t="s">
        <v>583</v>
      </c>
    </row>
    <row r="7" spans="1:20" ht="30" x14ac:dyDescent="0.25">
      <c r="A7" s="50" t="s">
        <v>584</v>
      </c>
      <c r="B7" s="50" t="s">
        <v>585</v>
      </c>
      <c r="C7" s="50" t="s">
        <v>586</v>
      </c>
      <c r="D7" s="50" t="s">
        <v>583</v>
      </c>
    </row>
    <row r="8" spans="1:20" ht="30" x14ac:dyDescent="0.25">
      <c r="A8" s="50" t="s">
        <v>587</v>
      </c>
      <c r="B8" s="50" t="s">
        <v>588</v>
      </c>
      <c r="C8" s="50" t="s">
        <v>589</v>
      </c>
      <c r="D8" s="50" t="s">
        <v>583</v>
      </c>
    </row>
    <row r="9" spans="1:20" ht="30" x14ac:dyDescent="0.25">
      <c r="A9" s="50" t="s">
        <v>590</v>
      </c>
      <c r="B9" s="50" t="s">
        <v>591</v>
      </c>
      <c r="C9" s="50" t="s">
        <v>592</v>
      </c>
      <c r="D9" s="50" t="s">
        <v>593</v>
      </c>
    </row>
    <row r="10" spans="1:20" ht="30" x14ac:dyDescent="0.25">
      <c r="A10" s="50" t="s">
        <v>594</v>
      </c>
      <c r="B10" s="50" t="s">
        <v>595</v>
      </c>
      <c r="C10" s="50" t="s">
        <v>596</v>
      </c>
      <c r="D10" s="50" t="s">
        <v>597</v>
      </c>
    </row>
    <row r="11" spans="1:20" ht="45" x14ac:dyDescent="0.25">
      <c r="A11" s="50" t="s">
        <v>598</v>
      </c>
      <c r="B11" s="50" t="s">
        <v>599</v>
      </c>
      <c r="C11" s="50" t="s">
        <v>600</v>
      </c>
      <c r="D11" s="50" t="s">
        <v>601</v>
      </c>
    </row>
    <row r="12" spans="1:20" ht="30" x14ac:dyDescent="0.25">
      <c r="A12" s="50" t="s">
        <v>602</v>
      </c>
      <c r="B12" s="50" t="s">
        <v>603</v>
      </c>
      <c r="C12" s="50" t="s">
        <v>604</v>
      </c>
      <c r="D12" s="50" t="s">
        <v>605</v>
      </c>
    </row>
    <row r="13" spans="1:20" ht="30" x14ac:dyDescent="0.25">
      <c r="A13" s="50" t="s">
        <v>606</v>
      </c>
      <c r="B13" s="50" t="s">
        <v>607</v>
      </c>
      <c r="C13" s="50" t="s">
        <v>608</v>
      </c>
      <c r="D13" s="50" t="s">
        <v>609</v>
      </c>
    </row>
    <row r="14" spans="1:20" ht="30" x14ac:dyDescent="0.25">
      <c r="A14" s="50" t="s">
        <v>610</v>
      </c>
      <c r="B14" s="50" t="s">
        <v>611</v>
      </c>
      <c r="C14" s="50" t="s">
        <v>612</v>
      </c>
      <c r="D14" s="50" t="s">
        <v>613</v>
      </c>
    </row>
    <row r="15" spans="1:20" ht="30" x14ac:dyDescent="0.25">
      <c r="A15" s="50" t="s">
        <v>614</v>
      </c>
      <c r="B15" s="50" t="s">
        <v>615</v>
      </c>
      <c r="C15" s="50" t="s">
        <v>616</v>
      </c>
      <c r="D15" s="50" t="s">
        <v>617</v>
      </c>
    </row>
    <row r="16" spans="1:20" ht="45" x14ac:dyDescent="0.25">
      <c r="A16" s="50" t="s">
        <v>618</v>
      </c>
      <c r="B16" s="50" t="s">
        <v>619</v>
      </c>
      <c r="C16" s="50" t="s">
        <v>620</v>
      </c>
      <c r="D16" s="50" t="s">
        <v>621</v>
      </c>
    </row>
    <row r="17" spans="1:4" ht="45" x14ac:dyDescent="0.25">
      <c r="A17" s="50" t="s">
        <v>622</v>
      </c>
      <c r="B17" s="50" t="s">
        <v>623</v>
      </c>
      <c r="C17" s="50" t="s">
        <v>624</v>
      </c>
      <c r="D17" s="50" t="s">
        <v>625</v>
      </c>
    </row>
    <row r="18" spans="1:4" ht="30" x14ac:dyDescent="0.25">
      <c r="A18" s="50" t="s">
        <v>626</v>
      </c>
      <c r="B18" s="50" t="s">
        <v>627</v>
      </c>
      <c r="C18" s="50" t="s">
        <v>628</v>
      </c>
      <c r="D18" s="50" t="s">
        <v>629</v>
      </c>
    </row>
    <row r="19" spans="1:4" ht="45" x14ac:dyDescent="0.25">
      <c r="A19" s="50" t="s">
        <v>630</v>
      </c>
      <c r="B19" s="50" t="s">
        <v>631</v>
      </c>
      <c r="C19" s="50" t="s">
        <v>632</v>
      </c>
      <c r="D19" s="50" t="s">
        <v>633</v>
      </c>
    </row>
    <row r="20" spans="1:4" ht="30" x14ac:dyDescent="0.25">
      <c r="A20" s="50" t="s">
        <v>634</v>
      </c>
      <c r="B20" s="50" t="s">
        <v>635</v>
      </c>
      <c r="C20" s="50" t="s">
        <v>636</v>
      </c>
      <c r="D20" s="50" t="s">
        <v>637</v>
      </c>
    </row>
    <row r="21" spans="1:4" ht="90" x14ac:dyDescent="0.25">
      <c r="A21" s="50" t="s">
        <v>638</v>
      </c>
      <c r="B21" s="50" t="s">
        <v>639</v>
      </c>
      <c r="C21" s="50" t="s">
        <v>640</v>
      </c>
      <c r="D21" s="50" t="s">
        <v>641</v>
      </c>
    </row>
    <row r="22" spans="1:4" x14ac:dyDescent="0.25">
      <c r="A22" s="50" t="s">
        <v>642</v>
      </c>
      <c r="B22" s="50" t="s">
        <v>643</v>
      </c>
      <c r="C22" s="50" t="s">
        <v>644</v>
      </c>
      <c r="D22" s="50" t="s">
        <v>645</v>
      </c>
    </row>
    <row r="23" spans="1:4" ht="60" x14ac:dyDescent="0.25">
      <c r="A23" s="50" t="s">
        <v>646</v>
      </c>
      <c r="B23" s="50" t="s">
        <v>647</v>
      </c>
      <c r="C23" s="50" t="s">
        <v>648</v>
      </c>
      <c r="D23" s="50" t="s">
        <v>649</v>
      </c>
    </row>
    <row r="24" spans="1:4" x14ac:dyDescent="0.25">
      <c r="A24" s="50" t="s">
        <v>650</v>
      </c>
      <c r="B24" s="50" t="s">
        <v>651</v>
      </c>
      <c r="C24" s="50" t="s">
        <v>652</v>
      </c>
      <c r="D24" s="50" t="s">
        <v>653</v>
      </c>
    </row>
    <row r="25" spans="1:4" ht="30" x14ac:dyDescent="0.25">
      <c r="A25" s="50" t="s">
        <v>654</v>
      </c>
      <c r="B25" s="50" t="s">
        <v>655</v>
      </c>
      <c r="C25" s="50" t="s">
        <v>656</v>
      </c>
      <c r="D25" s="50" t="s">
        <v>657</v>
      </c>
    </row>
    <row r="26" spans="1:4" ht="45" x14ac:dyDescent="0.25">
      <c r="A26" s="50" t="s">
        <v>658</v>
      </c>
      <c r="B26" s="50" t="s">
        <v>659</v>
      </c>
      <c r="C26" s="50" t="s">
        <v>660</v>
      </c>
      <c r="D26" s="50" t="s">
        <v>661</v>
      </c>
    </row>
    <row r="27" spans="1:4" ht="30" x14ac:dyDescent="0.25">
      <c r="A27" s="50" t="s">
        <v>662</v>
      </c>
      <c r="B27" s="50" t="s">
        <v>663</v>
      </c>
      <c r="C27" s="50" t="s">
        <v>664</v>
      </c>
      <c r="D27" s="50" t="s">
        <v>665</v>
      </c>
    </row>
    <row r="28" spans="1:4" ht="30" x14ac:dyDescent="0.25">
      <c r="A28" s="50" t="s">
        <v>666</v>
      </c>
      <c r="B28" s="50" t="s">
        <v>667</v>
      </c>
      <c r="C28" s="50" t="s">
        <v>668</v>
      </c>
      <c r="D28" s="50" t="s">
        <v>669</v>
      </c>
    </row>
    <row r="29" spans="1:4" x14ac:dyDescent="0.25">
      <c r="A29" s="50" t="s">
        <v>670</v>
      </c>
      <c r="B29" s="50"/>
      <c r="C29" s="50"/>
      <c r="D29" s="50" t="s">
        <v>460</v>
      </c>
    </row>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Investigation</vt:lpstr>
      <vt:lpstr>Study</vt:lpstr>
      <vt:lpstr>Person</vt:lpstr>
      <vt:lpstr>Data file</vt:lpstr>
      <vt:lpstr>Biological Material</vt:lpstr>
      <vt:lpstr>Environment</vt:lpstr>
      <vt:lpstr>Experimental Factor</vt:lpstr>
      <vt:lpstr>Experimental Factor Level</vt:lpstr>
      <vt:lpstr>Event</vt:lpstr>
      <vt:lpstr>Observation Unit</vt:lpstr>
      <vt:lpstr>Sample</vt:lpstr>
      <vt:lpstr>Observed Variable</vt:lpstr>
      <vt:lpstr>Environment Parameters</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2026-09-25T10:24:15Z</dcterms:modified>
  <dc:language>en-GB</dc:language>
</cp:coreProperties>
</file>