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ork\MIAPPE\Templates\"/>
    </mc:Choice>
  </mc:AlternateContent>
  <xr:revisionPtr revIDLastSave="0" documentId="13_ncr:1_{B8203694-3FCC-49FE-B693-04E767C996D4}" xr6:coauthVersionLast="47" xr6:coauthVersionMax="47" xr10:uidLastSave="{00000000-0000-0000-0000-000000000000}"/>
  <bookViews>
    <workbookView xWindow="-120" yWindow="-120" windowWidth="29040" windowHeight="15720" tabRatio="891" activeTab="2" xr2:uid="{00000000-000D-0000-FFFF-FFFF00000000}"/>
  </bookViews>
  <sheets>
    <sheet name="README" sheetId="1" r:id="rId1"/>
    <sheet name="Investigation" sheetId="2" r:id="rId2"/>
    <sheet name="Study" sheetId="3" r:id="rId3"/>
    <sheet name="Person" sheetId="4" r:id="rId4"/>
    <sheet name="Data file" sheetId="5" r:id="rId5"/>
    <sheet name="Biological Material" sheetId="6" r:id="rId6"/>
    <sheet name="Environment" sheetId="7" r:id="rId7"/>
    <sheet name="Experimental Factor" sheetId="8" r:id="rId8"/>
    <sheet name="Experimental Factor Level" sheetId="16" r:id="rId9"/>
    <sheet name="Event" sheetId="9" r:id="rId10"/>
    <sheet name="Observation Unit" sheetId="10" r:id="rId11"/>
    <sheet name="Sample" sheetId="11" r:id="rId12"/>
    <sheet name="Observed Variable" sheetId="12" r:id="rId13"/>
    <sheet name="Environment Parameters" sheetId="15" r:id="rId14"/>
    <sheet name="Appendix1 Environment" sheetId="13" r:id="rId15"/>
    <sheet name="Appendix2 Experimental Factor" sheetId="14" r:id="rId1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 i="16" l="1"/>
  <c r="C2" i="8"/>
</calcChain>
</file>

<file path=xl/sharedStrings.xml><?xml version="1.0" encoding="utf-8"?>
<sst xmlns="http://schemas.openxmlformats.org/spreadsheetml/2006/main" count="1013" uniqueCount="702">
  <si>
    <t>README</t>
  </si>
  <si>
    <t>MIAPPE Version 1.2</t>
  </si>
  <si>
    <t>Here are described the different sheets of this template and their respective fields.</t>
  </si>
  <si>
    <t>Investigation</t>
  </si>
  <si>
    <r>
      <rPr>
        <sz val="10"/>
        <rFont val="Arial"/>
        <family val="2"/>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sz val="10"/>
        <rFont val="Arial"/>
        <family val="2"/>
        <charset val="1"/>
      </rPr>
      <t>This section is mandatory.</t>
    </r>
  </si>
  <si>
    <t>Field</t>
  </si>
  <si>
    <t>Investigation unique ID</t>
  </si>
  <si>
    <t>Investigation title</t>
  </si>
  <si>
    <t>Investigation description</t>
  </si>
  <si>
    <t>Submission date</t>
  </si>
  <si>
    <t>Public release date</t>
  </si>
  <si>
    <t>License</t>
  </si>
  <si>
    <t>MIAPPE version</t>
  </si>
  <si>
    <t>Associated publication</t>
  </si>
  <si>
    <t>Abbreviation</t>
  </si>
  <si>
    <t>investigationId</t>
  </si>
  <si>
    <t>investigationTitle</t>
  </si>
  <si>
    <t>investigationDescription</t>
  </si>
  <si>
    <t>submissionDate</t>
  </si>
  <si>
    <t>publicReleaseDate</t>
  </si>
  <si>
    <t>license</t>
  </si>
  <si>
    <t>miappeVersion</t>
  </si>
  <si>
    <t>associatedPublication</t>
  </si>
  <si>
    <t>Definition</t>
  </si>
  <si>
    <t>Identifier comprising the unique name of the institution/database hosting the submission of the investigation data, and the accession number of the investigation in that institution.</t>
  </si>
  <si>
    <t>Human-readable string summarising the investigation.</t>
  </si>
  <si>
    <t>Human-readable text describing the investigation in more detail.</t>
  </si>
  <si>
    <t>Date of submission of the dataset presently being described to a host repository.</t>
  </si>
  <si>
    <t>Date of first public release of the dataset presently being described.</t>
  </si>
  <si>
    <t>License for the reuse of the data associated with this investigation. The Creative Commons licenses cover most use cases and are recommended.</t>
  </si>
  <si>
    <t>The version of MIAPPE used.</t>
  </si>
  <si>
    <t>An identifier for a literature publication where the investigation is described. Use of DOIs is recommended.</t>
  </si>
  <si>
    <t>Example</t>
  </si>
  <si>
    <t>EBI:12345678</t>
  </si>
  <si>
    <t>Adaptation of Maize to Temperate Climates: Mid-Density Genome-Wide Association Genetics and Diversity Patterns Reveal Key Genomic Regions, with a Major Contribution of the Vgt2 (ZCN8) Locus.</t>
  </si>
  <si>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</si>
  <si>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CC BY-SA 4.0 ; Unreported</t>
  </si>
  <si>
    <t>doi:10.1371/journal.pone.0071377</t>
  </si>
  <si>
    <t>Format</t>
  </si>
  <si>
    <t>Unique identifier</t>
  </si>
  <si>
    <t>Free text (short)</t>
  </si>
  <si>
    <t>Free text</t>
  </si>
  <si>
    <t>Date/Time (ISO 8601, optional time zone)</t>
  </si>
  <si>
    <t>Version number</t>
  </si>
  <si>
    <t>DOI</t>
  </si>
  <si>
    <t>Study</t>
  </si>
  <si>
    <r>
      <rPr>
        <sz val="10"/>
        <rFont val="Arial"/>
        <family val="2"/>
        <charset val="1"/>
      </rPr>
      <t xml:space="preserve">A study (or experiment) comprises a series of assays (or measurements) of one or more types, undertaken to answer a particular biological question.
</t>
    </r>
    <r>
      <rPr>
        <i/>
        <sz val="10"/>
        <rFont val="Arial"/>
        <family val="2"/>
        <charset val="1"/>
      </rPr>
      <t>This section is mandatory.</t>
    </r>
  </si>
  <si>
    <t>Study unique ID</t>
  </si>
  <si>
    <t>Study title</t>
  </si>
  <si>
    <t>Study description</t>
  </si>
  <si>
    <t>Start date of study</t>
  </si>
  <si>
    <t>End date of study</t>
  </si>
  <si>
    <t>Contact institution</t>
  </si>
  <si>
    <t>Geographic location (country)</t>
  </si>
  <si>
    <t>Experimental site name</t>
  </si>
  <si>
    <t>Geographic location (latitude)</t>
  </si>
  <si>
    <t>Geographic location (longitude)</t>
  </si>
  <si>
    <t>Geographic location (altitude)</t>
  </si>
  <si>
    <t>Description of the experimental design</t>
  </si>
  <si>
    <t>Type of experimental design</t>
  </si>
  <si>
    <t>Observation unit level hierarchy</t>
  </si>
  <si>
    <t>Observation unit description</t>
  </si>
  <si>
    <t>Description of growth facility</t>
  </si>
  <si>
    <t>Type of growth facility</t>
  </si>
  <si>
    <t>Cultural practices</t>
  </si>
  <si>
    <t>Map of experimental design</t>
  </si>
  <si>
    <t>studyId</t>
  </si>
  <si>
    <t>studyTitle</t>
  </si>
  <si>
    <t>studyDescription</t>
  </si>
  <si>
    <t>studyStartDate</t>
  </si>
  <si>
    <t>studyEndDate</t>
  </si>
  <si>
    <t>contactInst</t>
  </si>
  <si>
    <t>locationCountry</t>
  </si>
  <si>
    <t>siteName</t>
  </si>
  <si>
    <t>locationLatitude</t>
  </si>
  <si>
    <t>locationLongitude</t>
  </si>
  <si>
    <t>locationAltitude</t>
  </si>
  <si>
    <t>expeDesignDesc</t>
  </si>
  <si>
    <t>expeDesignType</t>
  </si>
  <si>
    <t>obsUnitLevelHierarchy</t>
  </si>
  <si>
    <t>obsUnitDesc</t>
  </si>
  <si>
    <t>growthFacilityDesc</t>
  </si>
  <si>
    <t>growthFacilityType</t>
  </si>
  <si>
    <t>culturalPractice</t>
  </si>
  <si>
    <t>expeDesignMap</t>
  </si>
  <si>
    <t>Unique identifier comprising the name or identifier for the institution/database hosting the submission of the study data, and the identifier of the study in that institution.</t>
  </si>
  <si>
    <t>Name, human-readable text summarising the study</t>
  </si>
  <si>
    <t>Human-readable text describing the study</t>
  </si>
  <si>
    <t>Date and, if relevant, time when the experiment started</t>
  </si>
  <si>
    <t>Date and, if relevant, time when the experiment ended</t>
  </si>
  <si>
    <t>Name and address of the institution responsible for the study.</t>
  </si>
  <si>
    <t>The country where the experiment took place, either as a full name or preferably as a 2-letter code.</t>
  </si>
  <si>
    <t>The name of the natural site, experimental field, greenhouse, phenotyping facility, etc. where the experiment took place.</t>
  </si>
  <si>
    <t>Latitude of the experimental site in degrees, in decimal format.</t>
  </si>
  <si>
    <t>Longitude of the experimental site in degrees, in decimal format.</t>
  </si>
  <si>
    <t>Altitude of the experimental site, provided in metres (m).</t>
  </si>
  <si>
    <t>Short description of the experimental design, possibly including statistical design. In specific cases, e.g. legacy datasets or data computed from several studies, the experimental design can be "unknown"/"NA", "aggregated/reduced data", or simply "none".</t>
  </si>
  <si>
    <t>Type of experimental  design of the study, in the form of an accession number from the Crop Ontology.</t>
  </si>
  <si>
    <t>Hierarchy of the different levels of repetitions between each others</t>
  </si>
  <si>
    <t>General description of the observation units in the study.</t>
  </si>
  <si>
    <t>Short description of the facility in which the study was carried out.</t>
  </si>
  <si>
    <t>Type of growth facility in which the study was carried out, in the form of an accession number from the Crop Ontology.</t>
  </si>
  <si>
    <t>General description of the cultural practices of the study.</t>
  </si>
  <si>
    <t>Representation of the experimental design.</t>
  </si>
  <si>
    <t>EBI:12345678 ; http://phenome-fppn.fr/maugio/2013/t2351</t>
  </si>
  <si>
    <t>Maugio 2022</t>
  </si>
  <si>
    <t>2002 evaluation of male and female flowering time for a panel of 375 maize lines representing the worldwide genetic diversity at the experimental station of Maugio, France.</t>
  </si>
  <si>
    <t>2002-04-04 ; 2006-09-27T10:23:21+00:00</t>
  </si>
  <si>
    <t>UMR de Génétique Végétale, INRA – Université Paris-Sud – CNRS, Gif-sur-Yvette, France</t>
  </si>
  <si>
    <t>FR</t>
  </si>
  <si>
    <t>INRA, UE Diascope - Chemin de Mezouls - Domaine expérimental de Melgueil - 34130 Mauguio – France</t>
  </si>
  <si>
    <t>100 m</t>
  </si>
  <si>
    <t>Lines were repeated twice at each location using a complete block design. In order to limit competition effects, each block was organized into four sub-blocks corresponding to earliness groups based on a priori information.</t>
  </si>
  <si>
    <t>CO_715:0000145</t>
  </si>
  <si>
    <t>block&gt;rep&gt;plot</t>
  </si>
  <si>
    <t>Observation units consisted in individual plots themselves consisting of a row of 15 plants at a density of approximately six plants per square meter. ; NA</t>
  </si>
  <si>
    <t>field environment condition ; NA</t>
  </si>
  <si>
    <t>CO_715:0000162</t>
  </si>
  <si>
    <t>Irrigation was applied according needs during summer to prevent water stress.</t>
  </si>
  <si>
    <t>https://urgi.versailles.inra.fr/files/ephesis/181000503/181000503_plan.xls</t>
  </si>
  <si>
    <t>Country name or 2-letter code (ISO 3166)</t>
  </si>
  <si>
    <t>Degrees in the decimal format (ISO 6709)</t>
  </si>
  <si>
    <t>Numeric + unit abbreviation</t>
  </si>
  <si>
    <t>Crop Ontology term (subclass of "CO_715:0000003" from https://agroportal.lirmm.fr/ontologies/CO_715)</t>
  </si>
  <si>
    <t>Formatted text (level&gt;level)</t>
  </si>
  <si>
    <t>Crop Ontology term (subclass of "CO_715:0000005" from https://agroportal.lirmm.fr/ontologies/CO_715)</t>
  </si>
  <si>
    <t>URL or File name (of gis or tabular file like csv or tsv)</t>
  </si>
  <si>
    <t>Person</t>
  </si>
  <si>
    <r>
      <rPr>
        <sz val="10"/>
        <rFont val="Arial"/>
        <family val="2"/>
        <charset val="1"/>
      </rPr>
      <t xml:space="preserve">A human involved in the investigation or specifically any of its studies.
</t>
    </r>
    <r>
      <rPr>
        <i/>
        <sz val="10"/>
        <rFont val="Arial"/>
        <family val="2"/>
        <charset val="1"/>
      </rPr>
      <t>This section is mandatory.</t>
    </r>
  </si>
  <si>
    <t>Person name</t>
  </si>
  <si>
    <t>Person email</t>
  </si>
  <si>
    <t>Person ID</t>
  </si>
  <si>
    <t>Person role</t>
  </si>
  <si>
    <t>Person affiliation</t>
  </si>
  <si>
    <t>personName</t>
  </si>
  <si>
    <t>personEmail</t>
  </si>
  <si>
    <t>personId</t>
  </si>
  <si>
    <t>personRole</t>
  </si>
  <si>
    <t>personAffiliation</t>
  </si>
  <si>
    <t>Semicolon-separated list of (internal) study identifiers (cross-referencing to study worksheet) in which the person was involved.</t>
  </si>
  <si>
    <t>The name of the person (either full name or as used in scientific publications)</t>
  </si>
  <si>
    <t>The electronic mail address of the person.</t>
  </si>
  <si>
    <t>An identifier for the data submitter. If that submitter is an individual, ORCID identifiers are recommended.</t>
  </si>
  <si>
    <t>Type of contribution of the person to the investigation</t>
  </si>
  <si>
    <t>The institution the person belongs to</t>
  </si>
  <si>
    <t>study_1; study_2</t>
  </si>
  <si>
    <t>Ines Chaves</t>
  </si>
  <si>
    <t>ichaves@itqb.unl.pt</t>
  </si>
  <si>
    <t>orcid.org/0000-0001-6494-0008 ; orcid.org/0000-0002-7054-800X</t>
  </si>
  <si>
    <t>data submitter ; author ; corresponding author</t>
  </si>
  <si>
    <t>ITQB, Portugal ; grid.10772.33</t>
  </si>
  <si>
    <t>List</t>
  </si>
  <si>
    <t>Name</t>
  </si>
  <si>
    <t>email address</t>
  </si>
  <si>
    <t>Data File</t>
  </si>
  <si>
    <t>A file or digital object holding observation data recorded during one or more assays of the study, typically in tabular form. Multiple data files may be provided per study, and each file can include observations for several observation units and several observed variables.</t>
  </si>
  <si>
    <t>Data file link</t>
  </si>
  <si>
    <t>Data file description</t>
  </si>
  <si>
    <t>Data file version</t>
  </si>
  <si>
    <t>dataFileLink</t>
  </si>
  <si>
    <t>dataFileDesc</t>
  </si>
  <si>
    <t>dataFileVersion</t>
  </si>
  <si>
    <t>Semicolon-separated list of (internal) study identifiers (cross-referencing to study worksheet) where the event was recorded.</t>
  </si>
  <si>
    <t>Link to the data file (or digital object) in a public database or in a persistent institutional repository; or identifier of the data file when submitted together with the MIAPPE submission.</t>
  </si>
  <si>
    <t>Description of the format of the data file. May be a standard file format name, or a description of organization of the data in a tabular file.</t>
  </si>
  <si>
    <t>The version of the dataset (the actual data).</t>
  </si>
  <si>
    <t>https://www.ebi.ac.uk/arrayexpress/experiments/E-GEOD-32551/</t>
  </si>
  <si>
    <t>FASTA ; tab-delimited ; column headers headers: 1. A 2. B 3. C</t>
  </si>
  <si>
    <t>URL or File name</t>
  </si>
  <si>
    <t>Software version number</t>
  </si>
  <si>
    <t>Biological Material</t>
  </si>
  <si>
    <r>
      <rPr>
        <sz val="10"/>
        <rFont val="Arial"/>
        <family val="2"/>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sz val="10"/>
        <rFont val="Arial"/>
        <family val="2"/>
        <charset val="1"/>
      </rPr>
      <t>This section is mandatory.</t>
    </r>
  </si>
  <si>
    <t>Biological material ID</t>
  </si>
  <si>
    <t>Biological material external ID</t>
  </si>
  <si>
    <t>Organism</t>
  </si>
  <si>
    <t>Genus</t>
  </si>
  <si>
    <t>Species</t>
  </si>
  <si>
    <t>Infraspecific name</t>
  </si>
  <si>
    <t>Biological material latitude</t>
  </si>
  <si>
    <t>Biological material longitude</t>
  </si>
  <si>
    <t>Biological material altitude</t>
  </si>
  <si>
    <t>Biological material coordinates uncertainty</t>
  </si>
  <si>
    <t>Biological material preprocessing</t>
  </si>
  <si>
    <t>Material source ID (Holding institute/stock centre, accession)</t>
  </si>
  <si>
    <t>Material source DOI</t>
  </si>
  <si>
    <t>Material source accession number</t>
  </si>
  <si>
    <t>Material source accession name</t>
  </si>
  <si>
    <t>Material source institute code</t>
  </si>
  <si>
    <t>Material source institute name</t>
  </si>
  <si>
    <t>Material source other identifiers</t>
  </si>
  <si>
    <t>Material source latitude</t>
  </si>
  <si>
    <t>Material source longitude</t>
  </si>
  <si>
    <t>Material source altitude</t>
  </si>
  <si>
    <t>Material source coordinates uncertainty</t>
  </si>
  <si>
    <t>Material source description</t>
  </si>
  <si>
    <t>biologicalMaterialId</t>
  </si>
  <si>
    <t>biologicalMaterialExtId</t>
  </si>
  <si>
    <t>organism</t>
  </si>
  <si>
    <t>genus</t>
  </si>
  <si>
    <t>species</t>
  </si>
  <si>
    <t>infraspecificName</t>
  </si>
  <si>
    <t>biologicalMaterialLatitude</t>
  </si>
  <si>
    <t>biologicalMaterialLongitude</t>
  </si>
  <si>
    <t>biologicalMaterialAltitude</t>
  </si>
  <si>
    <t>biologicalMaterialCoordUncertainty</t>
  </si>
  <si>
    <t>biologicalMaterialPreprocessing</t>
  </si>
  <si>
    <t>materialSourceId</t>
  </si>
  <si>
    <t>materialSourceDoi</t>
  </si>
  <si>
    <t>materialSourceAccNumber</t>
  </si>
  <si>
    <t>materialSourceAccName</t>
  </si>
  <si>
    <t>materialSourceInstCode</t>
  </si>
  <si>
    <t>materialSourceInstName</t>
  </si>
  <si>
    <t>materialSourceOtherIds</t>
  </si>
  <si>
    <t>materialSourceLatitude</t>
  </si>
  <si>
    <t>materialSourceLongitude</t>
  </si>
  <si>
    <t>materialSourceAltitude</t>
  </si>
  <si>
    <t>materialSourceCoordUncertainty</t>
  </si>
  <si>
    <t>materialSourceDesc</t>
  </si>
  <si>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</si>
  <si>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One to many identifiers for the biological material. Can include EBI Biosamples ID. URI are recommended when possible.</t>
  </si>
  <si>
    <t xml:space="preserve">An identifier for the organism at the species level. Use of the NCBI taxon ID is recommended. </t>
  </si>
  <si>
    <t>Genus name for the organism under study, according to standard scientific nomenclature.</t>
  </si>
  <si>
    <t>Species name (formally: specific epithet) for the organism under study, according to standard scientific nomenclature.</t>
  </si>
  <si>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</si>
  <si>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Latitude of the studied biological material. [Alternative identifier for in situ material]</t>
  </si>
  <si>
    <t>Longitude of the studied biological material. [Alternative identifier for in situ material]</t>
  </si>
  <si>
    <t>Altitude of the studied biological material, provided in meters (m). [Alternative identifier for in situ material]</t>
  </si>
  <si>
    <t>Circular uncertainty of the coordinates, preferably provided in meters (m). [Alternative identifier for in situ material]</t>
  </si>
  <si>
    <t>Description of any process or treatment applied uniformly to the biological material, prior to the study itself. Can be provided as free text or as an accession number from a suitable controlled vocabulary.</t>
  </si>
  <si>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</si>
  <si>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Digital Object Identifier (DOI) of the material source</t>
  </si>
  <si>
    <t>Unique identifier for accessions within a genebank. If material source is not from a genebank, use a laboratory ID. In the case of a commercial variety, use the variety code, or name if no code available.</t>
  </si>
  <si>
    <t>Can be: (i)genebank accession registered name or other designation given to the material, other than the donor"s accession number or collecting number. (ii) Variety name.</t>
  </si>
  <si>
    <t>FAO WIEWS code of the institute where the accession is maintained. The current set of institute codes is available from https://www.fao.org/wiews. If no institute code is available, create your own (Laboratory acronym or research institute acronym ...).</t>
  </si>
  <si>
    <t>Name of the material source institute.</t>
  </si>
  <si>
    <t>Any other identifiers known to exist in other collections for this material source. Use key:value pairs, separated by semicolons.</t>
  </si>
  <si>
    <t>Latitude of the material source. [Alternative identifier for in situ material]</t>
  </si>
  <si>
    <t>Longitude of the material source. [Alternative identifier for in situ material]</t>
  </si>
  <si>
    <t>Altitude of the material source, provided in metres (m). [Alternative identifier for in situ material]</t>
  </si>
  <si>
    <t>Circular uncertainty of the coordinates, provided in meters (m). [Alternative identifier for in situ material]</t>
  </si>
  <si>
    <t>Description of the material source</t>
  </si>
  <si>
    <t>INRA:W95115_inra_2001 ; INRA:inra_kernel_2351 ; Rothamsted:rres_GK090847</t>
  </si>
  <si>
    <t>AGENT_project:AGENT_ID; Kernel_ID; experimentalPlateformID; GERMPLASM_DB_ID; Biosamples:SAMEA001234</t>
  </si>
  <si>
    <t>NCBITAXON:4577</t>
  </si>
  <si>
    <t>Zea ; Solanum</t>
  </si>
  <si>
    <t>mays ; lycosperium x pennellii</t>
  </si>
  <si>
    <t>subspecies:vinifera, cultivar:Pinot noir ; subsp.:aestivum, cv.:Weneda, Group:winter ; subsp. vinifera cv. Pinot Noir</t>
  </si>
  <si>
    <t>10 m</t>
  </si>
  <si>
    <t>200 m</t>
  </si>
  <si>
    <t>EO:0007210 – PVY(NTN) ; transplanted from study http://phenome-fppn.fr/maugio/2013/t2351 ; observation unit ID: pot:894</t>
  </si>
  <si>
    <t>INRA:W95115_inra ; ICNF:PNB-RPI</t>
  </si>
  <si>
    <t>doi:10.15454/1.4658436467893904E12</t>
  </si>
  <si>
    <t>W95115_inra; SYNTHETICS R93; APACHE</t>
  </si>
  <si>
    <t>Rheinische Vorgebirgstrauben</t>
  </si>
  <si>
    <t>FRA09</t>
  </si>
  <si>
    <t>INRA</t>
  </si>
  <si>
    <t>AGENT_ID:AB_06024; Yet_Another_ID:YAID_123</t>
  </si>
  <si>
    <t>Branches were collected from a 10-year-old tree growing in a progeny trial established in a loamy brown earth soil.</t>
  </si>
  <si>
    <t>Semicolon-separated list of unique identifiers, possibly prefixed by repository name</t>
  </si>
  <si>
    <t>Genus name</t>
  </si>
  <si>
    <t>Species name</t>
  </si>
  <si>
    <t>Key-value pair list, or MCPD-compliant format</t>
  </si>
  <si>
    <t>Numeric</t>
  </si>
  <si>
    <t>Plant Environment Ontology and/or free text</t>
  </si>
  <si>
    <t>Institute name</t>
  </si>
  <si>
    <t>Key:Value pairs</t>
  </si>
  <si>
    <t>Environment</t>
  </si>
  <si>
    <t>Environmental parameters that were kept constant throughout the study and did not change between observation units or assays. Environment characteristics that vary over time, i.e. environmental variables, should be recorded as Observed Variables (see below).</t>
  </si>
  <si>
    <t>Environment parameter</t>
  </si>
  <si>
    <t>Environment parameter value</t>
  </si>
  <si>
    <t>envParam</t>
  </si>
  <si>
    <t>envParamValue</t>
  </si>
  <si>
    <t xml:space="preserve">Name of the environment parameter constant within the experiment. </t>
  </si>
  <si>
    <t>Value of the environment parameter (defined above) constant within the experiment.</t>
  </si>
  <si>
    <t>sowing density; rooting medium composition; pH</t>
  </si>
  <si>
    <t>300 seeds per m2; Clay 50% plus sand; 6.5</t>
  </si>
  <si>
    <t>Free text (see Appendix I)</t>
  </si>
  <si>
    <t>Experimental Factor</t>
  </si>
  <si>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</si>
  <si>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Experimental Factor type</t>
  </si>
  <si>
    <t>Experimental Factor description</t>
  </si>
  <si>
    <t>Experimental Factor values</t>
  </si>
  <si>
    <t>expeFactorType</t>
  </si>
  <si>
    <t>expeFactorDesc</t>
  </si>
  <si>
    <t>expeFactorValues</t>
  </si>
  <si>
    <t>Name/Acronym of the experimental factor.</t>
  </si>
  <si>
    <t xml:space="preserve">Free text description of the experimental factor. This includes all relevant treatments planification and protocol planned for all the plants targeted by a given experimental factor. </t>
  </si>
  <si>
    <t>List of possible values for the factor.</t>
  </si>
  <si>
    <t>Watering</t>
  </si>
  <si>
    <t>Daily watering 1 L per plant.</t>
  </si>
  <si>
    <t>Watered; Unwatered</t>
  </si>
  <si>
    <t>Free text (see Appendix II)</t>
  </si>
  <si>
    <t>Event</t>
  </si>
  <si>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</si>
  <si>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Observation unit ID</t>
  </si>
  <si>
    <t>Event type</t>
  </si>
  <si>
    <t>Event accession number</t>
  </si>
  <si>
    <t>Event description</t>
  </si>
  <si>
    <t>Event date</t>
  </si>
  <si>
    <t>obsUnitId</t>
  </si>
  <si>
    <t>eventType</t>
  </si>
  <si>
    <t>eventAccNumber</t>
  </si>
  <si>
    <t>eventDesc</t>
  </si>
  <si>
    <t>eventDate</t>
  </si>
  <si>
    <t>The identifier of the observation unit (cross-referencing to Observation Unit worksheet) for which the event was recorded. Fill only if the event happened at the observation unit level rather than the whole study level.</t>
  </si>
  <si>
    <t>Short name of the event.</t>
  </si>
  <si>
    <t>Accession number of the event type in a suitable controlled vocabulary (Crop Ontology).</t>
  </si>
  <si>
    <t xml:space="preserve">Description of the event, including details such as amount applied and possibly duration of the event. </t>
  </si>
  <si>
    <t>Date and time of the event.</t>
  </si>
  <si>
    <t>plot:894</t>
  </si>
  <si>
    <t>Planting; Fertilizing</t>
  </si>
  <si>
    <t>CO_715:0000007 ; CO_715:0000011</t>
  </si>
  <si>
    <t>Sowing using seed drill ; Fertilizer application: Ammonium nitrate at 3 kg/m2</t>
  </si>
  <si>
    <t>2006-09-27T10:23:21+00:00 ; 2006-10-27, 2006-11-13, 2016-11-21</t>
  </si>
  <si>
    <t>List (of accession numbers)</t>
  </si>
  <si>
    <t>Crop Ontology term (subclass of CO_715:0000006 from https://agroportal.lirmm.fr/ontologies/CO_715)</t>
  </si>
  <si>
    <t>Observation Unit</t>
  </si>
  <si>
    <r>
      <rPr>
        <sz val="10"/>
        <rFont val="Arial"/>
        <family val="2"/>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sz val="10"/>
        <rFont val="Arial"/>
        <family val="2"/>
        <charset val="1"/>
      </rPr>
      <t>This section is mandatory.</t>
    </r>
  </si>
  <si>
    <t>Biological Material ID</t>
  </si>
  <si>
    <t>Observation unit type</t>
  </si>
  <si>
    <t>Observation unit external ID</t>
  </si>
  <si>
    <t>Spatial distribution</t>
  </si>
  <si>
    <t>Observation Unit factor value</t>
  </si>
  <si>
    <t>obsUnitType</t>
  </si>
  <si>
    <t>externalId</t>
  </si>
  <si>
    <t>spatialDistribution</t>
  </si>
  <si>
    <t>obsUnitFactorValue</t>
  </si>
  <si>
    <t>Semicolon-separated list of (internal) study identifiers (cross-referencing to study worksheet) to which the observation unit belongs to.</t>
  </si>
  <si>
    <t>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</si>
  <si>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</si>
  <si>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</si>
  <si>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Identifier for the observation unit in a persistent repository, comprises the name of the repository and the identifier of the observation unit therein. The EBI Biosamples repository can be used. URI are recommended when possible.</t>
  </si>
  <si>
    <t>Type and value of a spatial coordinate (georeference or relative) or level of observation (plot 45, subblock 7, block 2) provided as a key-value pair of the form type:value. Levels of observation must be consistent with those listed in the Study section.</t>
  </si>
  <si>
    <t>List of values for each factor applied to the observation unit.</t>
  </si>
  <si>
    <t>study_1</t>
  </si>
  <si>
    <t>1; 2</t>
  </si>
  <si>
    <t>plot</t>
  </si>
  <si>
    <t>Biosamples:SAMEA4202911</t>
  </si>
  <si>
    <t>latitude:+2.341, row:4, X:3, Y:6, Xm:35, Ym:65; block:1; plot:894</t>
  </si>
  <si>
    <t>Watered</t>
  </si>
  <si>
    <t>Formatted text (Key:value)</t>
  </si>
  <si>
    <t>Sample</t>
  </si>
  <si>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</si>
  <si>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Sample ID</t>
  </si>
  <si>
    <t>Plant structure development stage</t>
  </si>
  <si>
    <t>Plant anatomical entity</t>
  </si>
  <si>
    <t>Sample description</t>
  </si>
  <si>
    <t>Collection date</t>
  </si>
  <si>
    <t>Sample external ID</t>
  </si>
  <si>
    <t>sampleId</t>
  </si>
  <si>
    <t>developmentStage</t>
  </si>
  <si>
    <t>anatomicalEntity</t>
  </si>
  <si>
    <t>sampleDesc</t>
  </si>
  <si>
    <t>collectionDate</t>
  </si>
  <si>
    <t>The identifier of the observation unit (cross-referencing to Observation Unit worksheet) from which this sample was extracted.</t>
  </si>
  <si>
    <t>Unique identifier for the sample.</t>
  </si>
  <si>
    <t>The stage in the life of a plant structure during which the sample was taken, in the form of an accession number to a suitable controlled vocabulary (Plant Ontology, BBCH scale)</t>
  </si>
  <si>
    <t>A description of  the plant part (e.g. leaf) or the plant product (e.g. resin) from which the sample was taken, in the form of an accession number to a suitable controlled vocabulary (Plant Ontology).</t>
  </si>
  <si>
    <t>Any information not captured by the other sample fields, including quantification, sample treatments and processing.</t>
  </si>
  <si>
    <t>The date and time when the sample was collected / harvested</t>
  </si>
  <si>
    <t>An identifier for the sample in a persistent repository, comprising the name of the repository and the accession number of the observation unit therein. Submission to the EBI Biosamples repository is recommended. URI are recommended when possible.</t>
  </si>
  <si>
    <t>CEA:BE00034067</t>
  </si>
  <si>
    <t>PO:0025094; BBCH-17</t>
  </si>
  <si>
    <t>PO:0000003 ; PO:0025161</t>
  </si>
  <si>
    <t>Distal part of the leaf ; 100 mg of roots taken from 10 roots at 20°C, conserved in vacuum at 20 mM NaCl salinity, stored at -60 °C to -85 °C.</t>
  </si>
  <si>
    <t>2005-08-15T15:52:01+00:00</t>
  </si>
  <si>
    <t>accession number</t>
  </si>
  <si>
    <t>Plant Ontology term (subclass or PO:0009012) or BBCH scale term</t>
  </si>
  <si>
    <t>Plant Ontology term (subclass of PO:0025131)</t>
  </si>
  <si>
    <t>Date/Time</t>
  </si>
  <si>
    <t>Observed Variable</t>
  </si>
  <si>
    <r>
      <rPr>
        <sz val="10"/>
        <rFont val="Arial"/>
        <family val="2"/>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sz val="10"/>
        <rFont val="Arial"/>
        <family val="2"/>
        <charset val="1"/>
      </rPr>
      <t>This section is mandatory.</t>
    </r>
  </si>
  <si>
    <t>Variable ID</t>
  </si>
  <si>
    <t>Variable name</t>
  </si>
  <si>
    <t>Variable accession number</t>
  </si>
  <si>
    <t>Trait</t>
  </si>
  <si>
    <t>Trait Entity</t>
  </si>
  <si>
    <t>Trait Entity Accession number</t>
  </si>
  <si>
    <t>Trait Characteristic</t>
  </si>
  <si>
    <t>Trait Characteristic Accession number</t>
  </si>
  <si>
    <t>Trait accession number</t>
  </si>
  <si>
    <t>Method</t>
  </si>
  <si>
    <t>Method accession number</t>
  </si>
  <si>
    <t>Method description</t>
  </si>
  <si>
    <t>Reference associated to the method</t>
  </si>
  <si>
    <t>Scale</t>
  </si>
  <si>
    <t>Scale accession number</t>
  </si>
  <si>
    <t>Time scale</t>
  </si>
  <si>
    <t>variableId</t>
  </si>
  <si>
    <t>variableName</t>
  </si>
  <si>
    <t>variableAccNumber</t>
  </si>
  <si>
    <t>traitName</t>
  </si>
  <si>
    <t>traitEntity</t>
  </si>
  <si>
    <t>traitEntityAccessionNumber</t>
  </si>
  <si>
    <t>traitCharacteristic</t>
  </si>
  <si>
    <t>traitCharacteristicAccessionNumber</t>
  </si>
  <si>
    <t>traitAccNumber</t>
  </si>
  <si>
    <t>methodName</t>
  </si>
  <si>
    <t>methodAccNumber</t>
  </si>
  <si>
    <t>methodDesc</t>
  </si>
  <si>
    <t>methodRef</t>
  </si>
  <si>
    <t>scaleName</t>
  </si>
  <si>
    <t>scaleAccNumber</t>
  </si>
  <si>
    <t>timeScale</t>
  </si>
  <si>
    <t>Semicolon-separated list of (internal) study identifiers (cross-referencing to study worksheet) for which the variable was observed.</t>
  </si>
  <si>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</si>
  <si>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Name of the variable.</t>
  </si>
  <si>
    <t>Accession number of the variable in the Crop Ontology</t>
  </si>
  <si>
    <t>Name of the (plant or environmental) trait under observation</t>
  </si>
  <si>
    <t>Entity (part of the plant, whole plant, group of plant e.g. canopy) on which the trait has been measured</t>
  </si>
  <si>
    <t>Accession number of the trait entity in a suitable controlled vocabulary (Plant Ontology).</t>
  </si>
  <si>
    <t>Characteristic measured. It can be a morphological characteristic (size, volume, surface), a molecular characteristic (sugar concentration), etc...</t>
  </si>
  <si>
    <t>Accession number of the trait characteristic in a suitable controlled vocabulary (PATO - the Phenotype And Trait Ontology).</t>
  </si>
  <si>
    <t>Accession number of the trait in a suitable controlled vocabulary (Crop Ontology, Trait Ontology).</t>
  </si>
  <si>
    <t>Name of the method of observation</t>
  </si>
  <si>
    <t>Accession number of the method in a suitable controlled vocabulary (Crop Ontology, Trait Ontology).</t>
  </si>
  <si>
    <t>Textual description of the method, which may extend a method defined in an external reference with specific parameters, e.g. growth stage, inoculation precise organ (leaf number)</t>
  </si>
  <si>
    <t>URI/DOI of reference describing the method.</t>
  </si>
  <si>
    <t>Name of the scale associated with the variable</t>
  </si>
  <si>
    <t>Accession number of the scale in a suitable controlled vocabulary (Crop Ontology).</t>
  </si>
  <si>
    <t>Name of the scale or unit of time with which observations of this type were recorded in the data file (for time series studies).</t>
  </si>
  <si>
    <t>Ant_Cmp_Cday</t>
  </si>
  <si>
    <t>Anthesis computed in growing degree days</t>
  </si>
  <si>
    <t>CO_322:0000794</t>
  </si>
  <si>
    <t>Anthesis time;  Reproductive growth time</t>
  </si>
  <si>
    <t>Leaf</t>
  </si>
  <si>
    <t>http://purl.obolibrary.org/obo/PO_0025034</t>
  </si>
  <si>
    <t>Area</t>
  </si>
  <si>
    <t>http://purl.obolibrary.org/obo/PATO_0001323</t>
  </si>
  <si>
    <t>CO_322:0000030; TO:0000366</t>
  </si>
  <si>
    <t>Growing degree days to anthesis</t>
  </si>
  <si>
    <t>CO_322:0000189</t>
  </si>
  <si>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</si>
  <si>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https://doi.org/10.2134/agronmonogr31.c2</t>
  </si>
  <si>
    <t>°C day</t>
  </si>
  <si>
    <t>CO_322:0000510</t>
  </si>
  <si>
    <t>Growing degree day (GDD); Date/Time</t>
  </si>
  <si>
    <t>Crop Ontology term</t>
  </si>
  <si>
    <t>Term from Plant Trait Ontology, Crop Ontology, or XML Environment Ontology</t>
  </si>
  <si>
    <t>URI or DOI</t>
  </si>
  <si>
    <t>Appendix 1 : Environment</t>
  </si>
  <si>
    <t>Non-exhaustive list of Environment Parameters.</t>
  </si>
  <si>
    <t>Appendix 2 : Experimental Factor</t>
  </si>
  <si>
    <t>Non-exhaustive list of Experimental Factors.</t>
  </si>
  <si>
    <t xml:space="preserve">Non-exhaustive list of Environment Parameters. </t>
  </si>
  <si>
    <t>Environment parameters</t>
  </si>
  <si>
    <t>Example environment parameter values</t>
  </si>
  <si>
    <t>Growth facility</t>
  </si>
  <si>
    <t>Air temperature</t>
  </si>
  <si>
    <t>List of hourly air temperature throughout the experiment.</t>
  </si>
  <si>
    <t>22 °C</t>
  </si>
  <si>
    <t>Organ temperature</t>
  </si>
  <si>
    <t>List of hourly organ temperatures throughout the experiment</t>
  </si>
  <si>
    <t>18 °C</t>
  </si>
  <si>
    <t>Change over the course of experiment</t>
  </si>
  <si>
    <t>Difference between the maximum air temperature recorded and the minimum.</t>
  </si>
  <si>
    <t>0.75 °C</t>
  </si>
  <si>
    <t>Photon flux density (PPFD) measured at plant or canopy level</t>
  </si>
  <si>
    <t>List of hourly Photosynthetic photon flux density (PPFD) throughout the experiment.</t>
  </si>
  <si>
    <t xml:space="preserve">PPFD: 89061 mol m-2 sd-1; </t>
  </si>
  <si>
    <t>Text</t>
  </si>
  <si>
    <t>Average length of the light period</t>
  </si>
  <si>
    <t>Average length of the light period in h.</t>
  </si>
  <si>
    <t>Light intensity</t>
  </si>
  <si>
    <t>Intensity of total light</t>
  </si>
  <si>
    <t>[μmol m–2 s–1]</t>
  </si>
  <si>
    <t>Range in peak light intensity</t>
  </si>
  <si>
    <t>Range in peak light intensity for the whole experiment.</t>
  </si>
  <si>
    <t>Fraction of outside light intercepted by growth facility components and surrounding structures</t>
  </si>
  <si>
    <t>Fraction of outside light intercepted by growth facility components and surrounding structures.</t>
  </si>
  <si>
    <t>Number between 0 and 1</t>
  </si>
  <si>
    <t>Type of lamps used</t>
  </si>
  <si>
    <t>Nature of the light source for controlled environments. XEO: 00137</t>
  </si>
  <si>
    <t>fluorescent tubes; high intensity discharge (HID) lamps; light emitting diodes (LED)</t>
  </si>
  <si>
    <t>R/FR ratio</t>
  </si>
  <si>
    <t>Red light to far red light ratio. XEO:00036</t>
  </si>
  <si>
    <t>[mol mol–1]</t>
  </si>
  <si>
    <t>Daily UV-A radiation</t>
  </si>
  <si>
    <t>Intensity of UVA radiation (320-400 nm); XEO:00037</t>
  </si>
  <si>
    <t>[W m-2]</t>
  </si>
  <si>
    <t>Daily UV-B radiation</t>
  </si>
  <si>
    <t>Intensity of UVB radiation (290-320 nm); XEO:00038</t>
  </si>
  <si>
    <t>Total daily irradiance</t>
  </si>
  <si>
    <t>Intensity of total light (XEO:00034) averaged over the experiment.</t>
  </si>
  <si>
    <t>Atmospheric CO2 concentration</t>
  </si>
  <si>
    <t>Denotes whether the atmospheric CO2 concentrations were controlled during the experiment.</t>
  </si>
  <si>
    <t>controlled; uncontrolled</t>
  </si>
  <si>
    <t>Average CO2 during the light and dark periods</t>
  </si>
  <si>
    <t>Concentration of CO2 in the air during the light and dark periods (XEO:00023)</t>
  </si>
  <si>
    <t>light period: 390 mLL-1; dark period: 450 mLL-1</t>
  </si>
  <si>
    <t>Vapour pressure deficit</t>
  </si>
  <si>
    <t>Vector of hourly VPD throughout the experiment .The Vapour Pressure Deficit in the air defines the difference between the maximal amount of water in the air minus the actual amount during the light period in kPa (XEO:00021)</t>
  </si>
  <si>
    <t>2 kPa</t>
  </si>
  <si>
    <t>Average relative humidity during the light period</t>
  </si>
  <si>
    <t>The relative humidity describes the amount of water vapor in the air, generally expressed as the percentage of the maximum water vapor during the light period (XEO:00020)</t>
  </si>
  <si>
    <t>Average VPDair during the dark period.</t>
  </si>
  <si>
    <t>The Vapour Pressure Deficit in the air defines the difference between the maximal amount of water in the air minus the actual amount during the light period in kPa (XEO:00021)</t>
  </si>
  <si>
    <t>2.7 kPa</t>
  </si>
  <si>
    <t>Average relative humidity during the dark period</t>
  </si>
  <si>
    <t>The relative humidity describes the amount of water vapor in the air, generally expressed as the percentage of the maximum water vapor during the dark period (XEO:00020)</t>
  </si>
  <si>
    <t>Rooting conditions</t>
  </si>
  <si>
    <t>Rooting medium</t>
  </si>
  <si>
    <t>An abiotic plant treatment (EO:0007191) involving the use of a solid or liquid substrate for growing plants or tissue-cultured plant samples.</t>
  </si>
  <si>
    <t>hydroponic plant culture media; in vitro liquid growth medium; in vitro solid growth medium; soil environment</t>
  </si>
  <si>
    <t>Plant Environment Ontology:'EO_0007147'</t>
  </si>
  <si>
    <t>Container type</t>
  </si>
  <si>
    <t>Type of container used to grow/treat the plants.XEO:00040</t>
  </si>
  <si>
    <t>pot; Petri dish; well; tray</t>
  </si>
  <si>
    <t>Container volume</t>
  </si>
  <si>
    <t>Volume that is available to the roots. XEO:00113</t>
  </si>
  <si>
    <t>[L]</t>
  </si>
  <si>
    <t>Container height</t>
  </si>
  <si>
    <t>Height of the container.</t>
  </si>
  <si>
    <t>[m]</t>
  </si>
  <si>
    <t>Number of plants per containers</t>
  </si>
  <si>
    <t>Number of plants per container. XEO:00112</t>
  </si>
  <si>
    <t>X/container</t>
  </si>
  <si>
    <t>Plot size</t>
  </si>
  <si>
    <t>Description of experimental sites.</t>
  </si>
  <si>
    <t>higher-level landform; land element and position; slope; ....</t>
  </si>
  <si>
    <t>Crop Ontology:'CO_715:0000058'</t>
  </si>
  <si>
    <t>Sowing density</t>
  </si>
  <si>
    <t>Sowing density.</t>
  </si>
  <si>
    <t>x/plot</t>
  </si>
  <si>
    <t>Natural Resource and Environment Ontology</t>
  </si>
  <si>
    <t>Rooting medium replenishment</t>
  </si>
  <si>
    <t>Frequency and volume of replenishment or addition of the rooting medium.</t>
  </si>
  <si>
    <t>pH</t>
  </si>
  <si>
    <t xml:space="preserve">Value of soil pH, separated by a colon, the depth (cm) from where soil sample was taken. Multiple values are separated by semicolon. </t>
  </si>
  <si>
    <t>7.7:40-60; 6.5; 4.3:10-20</t>
  </si>
  <si>
    <t>Porosity</t>
  </si>
  <si>
    <t>A permeability quality inhering in a bearer by virtue of the bearer's disposition to admit the passage of gas or liquid through pores or interstices. PATO:0000973</t>
  </si>
  <si>
    <t>[%]</t>
  </si>
  <si>
    <t>Medium temperature</t>
  </si>
  <si>
    <t xml:space="preserve">Temperature of the replenishment medium. </t>
  </si>
  <si>
    <t>[°C]</t>
  </si>
  <si>
    <t>Soil penetration strength</t>
  </si>
  <si>
    <t>Soil penetration strength as measured by the standard penetration test (SPT; ISO 22476-3), the cone penetrometer test (CPT), in-situ vane shear tests, and shear wave velocity measurements.</t>
  </si>
  <si>
    <t>[Pa m–2]</t>
  </si>
  <si>
    <t>Water retention capacity</t>
  </si>
  <si>
    <t>Potential energy of water per unit mass of water in the soil.XEO:00126</t>
  </si>
  <si>
    <t>[g g–1 dry weight]</t>
  </si>
  <si>
    <t>Organic matter content</t>
  </si>
  <si>
    <t>Proportion of organic matter in the soil. XEO:00117</t>
  </si>
  <si>
    <t>Nutrients</t>
  </si>
  <si>
    <t>Medium composition</t>
  </si>
  <si>
    <t>Concentration of the nutrients</t>
  </si>
  <si>
    <t>Ca (XEO:00058): 5 mg/L</t>
  </si>
  <si>
    <t>XEML Environment Ontology:'XEO_00042' + Numeric</t>
  </si>
  <si>
    <t>Extractable N content per unit ground volume before fertiliser added</t>
  </si>
  <si>
    <t>Extractable N content per unit ground area before fertiliser added</t>
  </si>
  <si>
    <t>[mg/m2]</t>
  </si>
  <si>
    <t>XEML Environment Ontology:'XEO_00054' +Numeric</t>
  </si>
  <si>
    <t>Type and amount of fertiliser added per container/m2</t>
  </si>
  <si>
    <t>The current practice in field /greenhouse management for fertilization</t>
  </si>
  <si>
    <t>nitrogen: [concentration]; phosphorus: [concentration]</t>
  </si>
  <si>
    <t>Crop Ontology:'CO_715:0000204' + Numeric</t>
  </si>
  <si>
    <t>Concentration of [nutrient] before start of the experiment</t>
  </si>
  <si>
    <t>Concentration of a nutrient at the start of an experiment.</t>
  </si>
  <si>
    <t>Extractable N content per unit ground area at the end of the experiment</t>
  </si>
  <si>
    <t>Volume and timing of water added per container</t>
  </si>
  <si>
    <t>A defined volume of water supplied to each pot.</t>
  </si>
  <si>
    <t>Matrix potential</t>
  </si>
  <si>
    <t>Range in water potential for soil.</t>
  </si>
  <si>
    <t>-10 to -30 kPa</t>
  </si>
  <si>
    <t>Watering regimen</t>
  </si>
  <si>
    <t>The treatment involving an exposure to watering frequencies.</t>
  </si>
  <si>
    <t>irrigation from top; irrigation from bottom; drip irrigation</t>
  </si>
  <si>
    <t>Composition of nutrient solutions used for irrigation</t>
  </si>
  <si>
    <t>For all nutrients, including micronutrients, the ontology term with concentration.</t>
  </si>
  <si>
    <t>Electrical conductivity</t>
  </si>
  <si>
    <t>A conductivity quality inhering in a bearer by virtue of the bearer's ability to convey electricity.</t>
  </si>
  <si>
    <t>[dS m–1]</t>
  </si>
  <si>
    <t>Experimental Factors</t>
  </si>
  <si>
    <t>Factor type</t>
  </si>
  <si>
    <t>Example factor values</t>
  </si>
  <si>
    <t>Seasonal environment</t>
  </si>
  <si>
    <t>A plant treatment (EO:0001001) involving an exposure to a given conditions of regional seasons.</t>
  </si>
  <si>
    <t>Spring season; dry season</t>
  </si>
  <si>
    <t>Plant Environment Ontology:'EO_0007038'</t>
  </si>
  <si>
    <t>Air treatment regime</t>
  </si>
  <si>
    <t>The treatment involving an exposure to wind/air with varying degree of temperature, which may depend on the study type or the regional environment.</t>
  </si>
  <si>
    <t>28/25ºC ( Day/Night )</t>
  </si>
  <si>
    <t>Plant Environment Ontology:'EO_0007161'</t>
  </si>
  <si>
    <t>Soil temperature regime</t>
  </si>
  <si>
    <t>A physical plant treatment (EO:0007316) involving an exposure to varying degree of temperature, which may depend on regional environment.</t>
  </si>
  <si>
    <t>27/25ºC ( Day/Night )</t>
  </si>
  <si>
    <t>Soil treatment regime</t>
  </si>
  <si>
    <t>The treatment (EO:0007049) involving growing plants and exposing them to soil growth media with varying contents</t>
  </si>
  <si>
    <t>sand content (10% v/v)</t>
  </si>
  <si>
    <t>Antibiotic regime</t>
  </si>
  <si>
    <t>A chemical treatment (EO:0007189) involving the use of antibiotic for selection purposes.</t>
  </si>
  <si>
    <t>actinomycin D; 20mM;20ml per plant; Every week</t>
  </si>
  <si>
    <t>Plant Environment Ontology:'EO_0007041'</t>
  </si>
  <si>
    <t>Chemical administration</t>
  </si>
  <si>
    <t>An abiotic plant treatment (EO:0007191) involving the application of chemical(s).</t>
  </si>
  <si>
    <t>Bion; 13,5mM; 5ml per plant; Every 15 days.</t>
  </si>
  <si>
    <t>Plant Environment Ontology:'EO_0007189'</t>
  </si>
  <si>
    <t>Biotic treatment</t>
  </si>
  <si>
    <t>A plant treatment (EO:0001001) involving the application of a biotic or biological factor such as a microbe, insect, animal, or plant or a combination thereof</t>
  </si>
  <si>
    <t>rice tungro bacilliform virus (RTBV) 2.5 µl, incubated at room temperature for 10min</t>
  </si>
  <si>
    <t>Plant Environment Ontology:'EO_0007357'</t>
  </si>
  <si>
    <t>Fertilizer regime</t>
  </si>
  <si>
    <t>A plant nutrient treatment (EO:0007241) involving the use of a fertilizer, a combination of plant nutrients.</t>
  </si>
  <si>
    <t>Potassium phosphate; 50 Kg P.Ha/y 50 Kg K.Ha/y</t>
  </si>
  <si>
    <t>Plant Environment Ontology:'EO_0007085'</t>
  </si>
  <si>
    <t>Fungicide regime</t>
  </si>
  <si>
    <t>A treatment (EO:0007167) involving the application of a fungicide; a chemical entity or mixture of chemical entities.</t>
  </si>
  <si>
    <t>Benzothiadiazole; 10mM; 1ml; Every month</t>
  </si>
  <si>
    <t>Plant Environment Ontology:'EO_0007268'</t>
  </si>
  <si>
    <t>Gaseous regime</t>
  </si>
  <si>
    <t>A physical plant treatment (EO:0007316) involving the application of a gas or a combination of gasses.</t>
  </si>
  <si>
    <t>Carbon Dioxide; 20ppm</t>
  </si>
  <si>
    <t>Plant Environment Ontology:'EO_0007023'</t>
  </si>
  <si>
    <t>Gravity</t>
  </si>
  <si>
    <t>The treatment involving use of gravity factor to study various types of responses in presence, absence or modified levels of gravity.</t>
  </si>
  <si>
    <t>Zero gravity (International space station)</t>
  </si>
  <si>
    <t>Plant Environment Ontology:'EO_0007146'</t>
  </si>
  <si>
    <t>Plant hormone regime</t>
  </si>
  <si>
    <t>A chemical treatment (EO:0007189) involving the use of growth hormones to study various types of responses on their extrinsic and/or intrinsic application.</t>
  </si>
  <si>
    <t>Jasmonic acid; 1mM;20ml;</t>
  </si>
  <si>
    <t>Plant Environment Ontology:'EO_0007165'</t>
  </si>
  <si>
    <t>Herbicide regime</t>
  </si>
  <si>
    <t>A treatment (EO:0007167) involving the application of a herbicide; a chemical entity or mixture of chemical entities.</t>
  </si>
  <si>
    <t>SUREWET (Polyvinyl polymer and non-ionic surfactant); 1,75mM; 5ml per plant; Sprayed every month</t>
  </si>
  <si>
    <t>Plant Environment Ontology:'EO_0007183'</t>
  </si>
  <si>
    <t>Mechanical treatment</t>
  </si>
  <si>
    <t>A treatment involving the application of a mechanical force</t>
  </si>
  <si>
    <t>Wounding, bending</t>
  </si>
  <si>
    <t>Plant Environment Ontology:'EO_0007373' / Text</t>
  </si>
  <si>
    <t>Chemical regime</t>
  </si>
  <si>
    <t>A chemical treatment (EO:0007189) involving the application of inorganic chemicals, nutriment, organic chemicals, etc. as supplement to study various types of responses</t>
  </si>
  <si>
    <t>Cd 0.5 mg/L (Hydroponics), CdCl2 15mg.Cd/kg (soil)</t>
  </si>
  <si>
    <t>Plant Environment Ontology:'EO_0007044'</t>
  </si>
  <si>
    <t>Humidity regimen</t>
  </si>
  <si>
    <t>A treatment involving an exposure to varying degree of humidity, which may depend on regional environment.</t>
  </si>
  <si>
    <t>56%/70% (Day/Night)</t>
  </si>
  <si>
    <t>Plant Environment Ontology:'EO_0007359'</t>
  </si>
  <si>
    <t>Radiation (light, UV-B, X-ray) regime</t>
  </si>
  <si>
    <t>A physical plant treatment (EO:0007316) involving an exposure with a radiation type, intensity or quantity. EMR is classified according to the frequency of its wave. The electromagnetic spectrum, in order of increasing frequency and decreasing wavelength, consists of radio waves, microwaves, infrared radiation, visible light, ultraviolet radiation, X-rays and gamma rays. (from Wikipedia).</t>
  </si>
  <si>
    <t>200-280nm; 30min; every day</t>
  </si>
  <si>
    <t>Plant Environment Ontology:'EO_0007151'</t>
  </si>
  <si>
    <t>Rainfall regime</t>
  </si>
  <si>
    <t>Treatment involving an exposure to a given amount of rainfall.</t>
  </si>
  <si>
    <t>79 rainfall events; 15,6mm (mean size)</t>
  </si>
  <si>
    <t>Plant Environment Ontology:'EO_0007181'</t>
  </si>
  <si>
    <t>Salt regime</t>
  </si>
  <si>
    <t>This treatment may be used to simulate the growth conditions of sea coast regions and saline/sodic soils. A chemical treatment (EO:0007189) involving use of salts as supplement to liquid and soil growth media to study various types of responses on their application.</t>
  </si>
  <si>
    <t>NaCl:150mM ; KCl:30mM</t>
  </si>
  <si>
    <t>Plant Environment Ontology:'EO_0007185'</t>
  </si>
  <si>
    <t>Watering regime</t>
  </si>
  <si>
    <t>Treatment involving an exposure to watering frequencies.</t>
  </si>
  <si>
    <t>20ml every 3 days</t>
  </si>
  <si>
    <t>Plant Environment Ontology:'EO_0007383'</t>
  </si>
  <si>
    <t>Water temperature regime</t>
  </si>
  <si>
    <t>Treatment involving an exposure to water with varying degree of temperature, which may depend on regional environment.</t>
  </si>
  <si>
    <t>20ºC</t>
  </si>
  <si>
    <t>Plant Environment Ontology:'EO_0007160'</t>
  </si>
  <si>
    <t>Standing water regime</t>
  </si>
  <si>
    <t>The treatment involving an exposure to standing water during a plant's life span. This also results in anaerobic soil conditions for either long or short periods.</t>
  </si>
  <si>
    <t>Flooding water, Deep water</t>
  </si>
  <si>
    <t>Plant Environment Ontology:'EO_0007282'</t>
  </si>
  <si>
    <t>Pesticide regime</t>
  </si>
  <si>
    <t>A chemical treatment (EO:0007189) involving the application of a pesticide; a chemical entity or mixture of chemical entities.</t>
  </si>
  <si>
    <t>Glyphosate; 1.68 kg acid equivalent (a.e.) / ha</t>
  </si>
  <si>
    <t>Plant Environment Ontology:'EO_0007167'</t>
  </si>
  <si>
    <t>pH regime</t>
  </si>
  <si>
    <t>The treatment involving exposure of plants to varying levels of pH of the growth media.</t>
  </si>
  <si>
    <t>acidic pH soil environment</t>
  </si>
  <si>
    <t>Plant Environment Ontology:'EO_0007171'</t>
  </si>
  <si>
    <t>Other perturbation</t>
  </si>
  <si>
    <t>S1</t>
  </si>
  <si>
    <t>S2</t>
  </si>
  <si>
    <t>envParamAccession</t>
  </si>
  <si>
    <t>envParamDesc</t>
  </si>
  <si>
    <t>seed rate</t>
  </si>
  <si>
    <t>http://purl.obolibrary.org/obo/AGRO_00000202</t>
  </si>
  <si>
    <t>Mass of the seeds sown on a given surface area.</t>
  </si>
  <si>
    <t>humidity regimen</t>
  </si>
  <si>
    <t>http://purl.obolibrary.org/obo/EO_0007197</t>
  </si>
  <si>
    <t>expeFactorId</t>
  </si>
  <si>
    <t>expeFactorCode</t>
  </si>
  <si>
    <r>
      <t xml:space="preserve">Colour code for sheets and columns:
- </t>
    </r>
    <r>
      <rPr>
        <b/>
        <sz val="15"/>
        <color rgb="FFFF0000"/>
        <rFont val="Calibri"/>
        <family val="2"/>
        <charset val="1"/>
      </rPr>
      <t>Red</t>
    </r>
    <r>
      <rPr>
        <b/>
        <sz val="15"/>
        <rFont val="Calibri"/>
        <family val="2"/>
        <charset val="1"/>
      </rPr>
      <t xml:space="preserve"> : mandatory
- </t>
    </r>
    <r>
      <rPr>
        <b/>
        <sz val="15"/>
        <color rgb="FF008000"/>
        <rFont val="Calibri"/>
        <family val="2"/>
        <charset val="1"/>
      </rPr>
      <t>Green</t>
    </r>
    <r>
      <rPr>
        <b/>
        <sz val="15"/>
        <rFont val="Calibri"/>
        <family val="2"/>
        <charset val="1"/>
      </rPr>
      <t xml:space="preserve"> : recommended
- Black: if available
- </t>
    </r>
    <r>
      <rPr>
        <b/>
        <sz val="15"/>
        <color rgb="FF0000FF"/>
        <rFont val="Calibri"/>
        <family val="2"/>
        <charset val="1"/>
      </rPr>
      <t>Blue</t>
    </r>
    <r>
      <rPr>
        <b/>
        <sz val="15"/>
        <rFont val="Calibri"/>
        <family val="2"/>
        <charset val="1"/>
      </rPr>
      <t xml:space="preserve"> : read-only</t>
    </r>
  </si>
  <si>
    <t>N</t>
  </si>
  <si>
    <t>expeFactorLevelId</t>
  </si>
  <si>
    <t>expeFactorLevelAccession</t>
  </si>
  <si>
    <t>expeFactorLevelDesc</t>
  </si>
  <si>
    <t>S1-N</t>
  </si>
  <si>
    <t>N1</t>
  </si>
  <si>
    <t>expeFactorLevelCode</t>
  </si>
  <si>
    <t>variableAccession</t>
  </si>
  <si>
    <t>traitEntityAccession</t>
  </si>
  <si>
    <t>traitCharacteristicAccession</t>
  </si>
  <si>
    <t>traitAccession</t>
  </si>
  <si>
    <t>methodAccession</t>
  </si>
  <si>
    <t>scaleAccession</t>
  </si>
  <si>
    <t>participant</t>
  </si>
  <si>
    <t>participantAccession</t>
  </si>
  <si>
    <t>participantRole</t>
  </si>
  <si>
    <t>participantRoleAccession</t>
  </si>
  <si>
    <t>S1-N-N1</t>
  </si>
  <si>
    <t>sourceStudyId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</si>
</sst>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8" x14ac:knownFonts="1">
    <font>
      <sz val="11"/>
      <color rgb="FF000000"/>
      <name val="Calibri"/>
      <charset val="1"/>
    </font>
    <font>
      <b/>
      <sz val="20"/>
      <color rgb="FF0000FF"/>
      <name val="Calibri"/>
      <family val="2"/>
      <charset val="1"/>
    </font>
    <font>
      <b/>
      <sz val="20"/>
      <name val="Calibri"/>
      <family val="2"/>
      <charset val="1"/>
    </font>
    <font>
      <sz val="11"/>
      <name val="Calibri"/>
      <family val="2"/>
      <charset val="1"/>
    </font>
    <font>
      <b/>
      <sz val="12"/>
      <name val="Calibri"/>
      <family val="2"/>
      <charset val="1"/>
    </font>
    <font>
      <b/>
      <sz val="15"/>
      <name val="Calibri"/>
      <family val="2"/>
      <charset val="1"/>
    </font>
    <font>
      <b/>
      <sz val="15"/>
      <color rgb="FFFF0000"/>
      <name val="Calibri"/>
      <family val="2"/>
      <charset val="1"/>
    </font>
    <font>
      <b/>
      <sz val="15"/>
      <color rgb="FF008000"/>
      <name val="Calibri"/>
      <family val="2"/>
      <charset val="1"/>
    </font>
    <font>
      <b/>
      <sz val="15"/>
      <color rgb="FF0000FF"/>
      <name val="Calibri"/>
      <family val="2"/>
      <charset val="1"/>
    </font>
    <font>
      <sz val="10"/>
      <name val="Arial"/>
      <family val="2"/>
      <charset val="1"/>
    </font>
    <font>
      <i/>
      <sz val="10"/>
      <name val="Arial"/>
      <family val="2"/>
      <charset val="1"/>
    </font>
    <font>
      <b/>
      <sz val="10"/>
      <name val="Arial"/>
      <family val="2"/>
      <charset val="1"/>
    </font>
    <font>
      <b/>
      <sz val="10"/>
      <color rgb="FF008000"/>
      <name val="Arial"/>
      <family val="2"/>
      <charset val="1"/>
    </font>
    <font>
      <b/>
      <sz val="10"/>
      <color rgb="FFFF0000"/>
      <name val="Arial"/>
      <family val="2"/>
      <charset val="1"/>
    </font>
    <font>
      <b/>
      <sz val="11"/>
      <name val="Arial"/>
      <family val="2"/>
      <charset val="1"/>
    </font>
    <font>
      <sz val="10"/>
      <name val="Calibri"/>
      <family val="2"/>
      <charset val="1"/>
    </font>
    <font>
      <b/>
      <sz val="11"/>
      <color rgb="FF000000"/>
      <name val="Calibri"/>
      <charset val="1"/>
    </font>
    <font>
      <b/>
      <sz val="11"/>
      <color rgb="FF000000"/>
      <name val="Arial"/>
      <family val="2"/>
      <charset val="1"/>
    </font>
    <font>
      <sz val="10"/>
      <color rgb="FF000000"/>
      <name val="Arial"/>
      <family val="2"/>
      <charset val="1"/>
    </font>
    <font>
      <b/>
      <sz val="10"/>
      <color rgb="FF0000FF"/>
      <name val="Arial"/>
      <family val="2"/>
      <charset val="1"/>
    </font>
    <font>
      <sz val="11"/>
      <name val="Calibri"/>
      <charset val="1"/>
    </font>
    <font>
      <sz val="11"/>
      <color rgb="FF000000"/>
      <name val="Calibri"/>
      <family val="2"/>
    </font>
    <font>
      <sz val="11"/>
      <color rgb="FF000000"/>
      <name val="Calibri"/>
      <family val="2"/>
      <charset val="1"/>
    </font>
    <font>
      <u/>
      <sz val="11"/>
      <color theme="10"/>
      <name val="Calibri"/>
      <family val="2"/>
    </font>
    <font>
      <b/>
      <sz val="10"/>
      <color theme="1"/>
      <name val="Arial"/>
      <family val="2"/>
      <charset val="1"/>
    </font>
    <font>
      <b/>
      <sz val="10"/>
      <color rgb="FF006AB9"/>
      <name val="Arial"/>
      <family val="2"/>
      <charset val="1"/>
    </font>
    <font>
      <sz val="11"/>
      <color rgb="FF006AB9"/>
      <name val="Calibri"/>
      <family val="2"/>
    </font>
    <font>
      <b/>
      <sz val="10"/>
      <color rgb="FF247A00"/>
      <name val="Arial"/>
      <family val="2"/>
      <charset val="1"/>
    </font>
  </fonts>
  <fills count="2">
    <fill>
      <patternFill patternType="none"/>
    </fill>
    <fill>
      <patternFill patternType="gray125"/>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23" fillId="0" borderId="0" applyNumberFormat="0" applyFill="0" applyBorder="0" applyAlignment="0" applyProtection="0"/>
  </cellStyleXfs>
  <cellXfs count="67">
    <xf numFmtId="0" fontId="0" fillId="0" borderId="0" xfId="0"/>
    <xf numFmtId="0" fontId="1" fillId="0" borderId="1" xfId="0" applyFont="1" applyBorder="1"/>
    <xf numFmtId="0" fontId="2" fillId="0" borderId="1" xfId="0" applyFont="1" applyBorder="1"/>
    <xf numFmtId="0" fontId="3" fillId="0" borderId="1" xfId="0" applyFont="1" applyBorder="1"/>
    <xf numFmtId="0" fontId="3" fillId="0" borderId="1" xfId="0" applyFont="1" applyBorder="1" applyAlignment="1">
      <alignment vertical="center"/>
    </xf>
    <xf numFmtId="0" fontId="0" fillId="0" borderId="1" xfId="0" applyBorder="1" applyAlignment="1">
      <alignment vertical="center"/>
    </xf>
    <xf numFmtId="0" fontId="4" fillId="0" borderId="0" xfId="0" applyFont="1"/>
    <xf numFmtId="0" fontId="3" fillId="0" borderId="0" xfId="0" applyFont="1"/>
    <xf numFmtId="0" fontId="3" fillId="0" borderId="0" xfId="0" applyFont="1" applyAlignment="1">
      <alignment vertical="center"/>
    </xf>
    <xf numFmtId="0" fontId="0" fillId="0" borderId="0" xfId="0" applyAlignment="1">
      <alignment vertical="center"/>
    </xf>
    <xf numFmtId="0" fontId="5" fillId="0" borderId="0" xfId="0" applyFont="1" applyAlignment="1">
      <alignment wrapText="1"/>
    </xf>
    <xf numFmtId="0" fontId="6" fillId="0" borderId="0" xfId="0" applyFont="1"/>
    <xf numFmtId="0" fontId="9" fillId="0" borderId="0" xfId="0" applyFont="1" applyAlignment="1">
      <alignment wrapText="1"/>
    </xf>
    <xf numFmtId="0" fontId="9" fillId="0" borderId="0" xfId="0" applyFont="1" applyAlignment="1">
      <alignment vertical="center" wrapText="1"/>
    </xf>
    <xf numFmtId="0" fontId="11" fillId="0" borderId="2" xfId="0" applyFont="1" applyBorder="1" applyAlignment="1">
      <alignment horizontal="center" vertical="center"/>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9" fillId="0" borderId="0" xfId="0" applyFont="1" applyAlignment="1">
      <alignment horizontal="center"/>
    </xf>
    <xf numFmtId="0" fontId="9" fillId="0" borderId="2" xfId="0" applyFont="1" applyBorder="1" applyAlignment="1">
      <alignment horizontal="center" vertical="center" wrapText="1"/>
    </xf>
    <xf numFmtId="0" fontId="9"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xf numFmtId="164" fontId="0" fillId="0" borderId="2" xfId="0" applyNumberFormat="1" applyBorder="1" applyAlignment="1">
      <alignment horizontal="center" vertical="center" wrapText="1"/>
    </xf>
    <xf numFmtId="0" fontId="11" fillId="0" borderId="3" xfId="0" applyFont="1" applyBorder="1" applyAlignment="1">
      <alignment horizontal="center" vertical="center" wrapText="1"/>
    </xf>
    <xf numFmtId="0" fontId="3" fillId="0" borderId="2" xfId="0" applyFont="1" applyBorder="1" applyAlignment="1">
      <alignment horizontal="center" vertical="center" wrapText="1"/>
    </xf>
    <xf numFmtId="0" fontId="7" fillId="0" borderId="0" xfId="0" applyFont="1"/>
    <xf numFmtId="164" fontId="0" fillId="0" borderId="0" xfId="0" applyNumberFormat="1" applyAlignment="1">
      <alignment horizontal="center" vertical="center" wrapText="1"/>
    </xf>
    <xf numFmtId="0" fontId="0" fillId="0" borderId="2" xfId="0" applyBorder="1" applyAlignment="1">
      <alignment horizontal="center" vertical="center" wrapText="1"/>
    </xf>
    <xf numFmtId="0" fontId="5" fillId="0" borderId="0" xfId="0" applyFont="1"/>
    <xf numFmtId="0" fontId="14" fillId="0" borderId="0" xfId="0" applyFont="1" applyAlignment="1">
      <alignment wrapText="1"/>
    </xf>
    <xf numFmtId="0" fontId="9" fillId="0" borderId="0" xfId="0" applyFont="1"/>
    <xf numFmtId="0" fontId="9" fillId="0" borderId="0" xfId="0" applyFont="1" applyAlignment="1">
      <alignment horizontal="center" vertical="center"/>
    </xf>
    <xf numFmtId="0" fontId="15" fillId="0" borderId="0" xfId="0" applyFont="1" applyAlignment="1">
      <alignment horizontal="center" vertical="center"/>
    </xf>
    <xf numFmtId="0" fontId="8" fillId="0" borderId="0" xfId="0" applyFont="1"/>
    <xf numFmtId="0" fontId="4" fillId="0" borderId="0" xfId="0" applyFont="1" applyAlignment="1">
      <alignment vertical="center" wrapText="1"/>
    </xf>
    <xf numFmtId="0" fontId="0" fillId="0" borderId="0" xfId="0" applyAlignment="1">
      <alignment horizontal="center"/>
    </xf>
    <xf numFmtId="0" fontId="16" fillId="0" borderId="0" xfId="0" applyFont="1" applyAlignment="1">
      <alignment horizontal="center" vertical="center"/>
    </xf>
    <xf numFmtId="0" fontId="17" fillId="0" borderId="0" xfId="0" applyFont="1" applyAlignment="1">
      <alignment wrapText="1"/>
    </xf>
    <xf numFmtId="0" fontId="18" fillId="0" borderId="0" xfId="0" applyFont="1" applyAlignment="1">
      <alignment horizontal="center"/>
    </xf>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vertical="center"/>
    </xf>
    <xf numFmtId="0" fontId="0" fillId="0" borderId="0" xfId="0" applyAlignment="1">
      <alignment wrapText="1"/>
    </xf>
    <xf numFmtId="0" fontId="15" fillId="0" borderId="0" xfId="0" applyFont="1" applyAlignment="1">
      <alignment vertical="center"/>
    </xf>
    <xf numFmtId="0" fontId="15" fillId="0" borderId="0" xfId="0" applyFont="1" applyAlignment="1">
      <alignment vertical="center" wrapText="1"/>
    </xf>
    <xf numFmtId="0" fontId="19" fillId="0" borderId="2" xfId="0" applyFont="1" applyBorder="1" applyAlignment="1">
      <alignment horizontal="center" vertical="center" wrapText="1"/>
    </xf>
    <xf numFmtId="0" fontId="20" fillId="0" borderId="0" xfId="0" applyFont="1" applyAlignment="1">
      <alignment wrapText="1"/>
    </xf>
    <xf numFmtId="0" fontId="20" fillId="0" borderId="0" xfId="0" applyFont="1"/>
    <xf numFmtId="0" fontId="20" fillId="0" borderId="2" xfId="0" applyFont="1" applyBorder="1" applyAlignment="1">
      <alignment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1" fillId="0" borderId="0" xfId="0" applyFont="1" applyAlignment="1">
      <alignment horizontal="center" vertical="center" wrapText="1"/>
    </xf>
    <xf numFmtId="0" fontId="13"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center" vertical="center"/>
    </xf>
    <xf numFmtId="0" fontId="14" fillId="0" borderId="0" xfId="0" applyFont="1"/>
    <xf numFmtId="0" fontId="9" fillId="0" borderId="0" xfId="0" applyFont="1" applyAlignment="1">
      <alignment vertical="center"/>
    </xf>
    <xf numFmtId="0" fontId="3" fillId="0" borderId="0" xfId="0" applyFont="1" applyAlignment="1">
      <alignment wrapText="1"/>
    </xf>
    <xf numFmtId="0" fontId="21" fillId="0" borderId="0" xfId="0" applyFont="1"/>
    <xf numFmtId="0" fontId="22" fillId="0" borderId="0" xfId="0" applyFont="1"/>
    <xf numFmtId="0" fontId="23" fillId="0" borderId="0" xfId="1"/>
    <xf numFmtId="0" fontId="24" fillId="0" borderId="0" xfId="0" applyFont="1" applyAlignment="1">
      <alignment horizontal="center" vertical="center" wrapText="1"/>
    </xf>
    <xf numFmtId="0" fontId="25" fillId="0" borderId="0" xfId="0" applyFont="1" applyAlignment="1">
      <alignment horizontal="center" vertical="center" wrapText="1"/>
    </xf>
    <xf numFmtId="0" fontId="26" fillId="0" borderId="0" xfId="0" applyFont="1"/>
    <xf numFmtId="0" fontId="27" fillId="0" borderId="0" xfId="0" applyFont="1" applyAlignment="1">
      <alignment horizontal="center" vertical="center" wrapText="1"/>
    </xf>
  </cellXfs>
  <cellStyles count="2">
    <cellStyle name="Hyperlink" xfId="1" builtinId="8"/>
    <cellStyle name="Normal" xfId="0" builtinId="0"/>
  </cellStyles>
  <dxfs count="139">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008000"/>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border>
        <left style="thin">
          <color theme="9"/>
        </left>
      </border>
    </dxf>
    <dxf>
      <border>
        <left style="thin">
          <color theme="9"/>
        </left>
      </border>
    </dxf>
    <dxf>
      <border>
        <top style="thin">
          <color theme="9"/>
        </top>
      </border>
    </dxf>
    <dxf>
      <border>
        <top style="thin">
          <color theme="9"/>
        </top>
      </border>
    </dxf>
    <dxf>
      <font>
        <b/>
        <color theme="1"/>
      </font>
    </dxf>
    <dxf>
      <font>
        <b/>
        <color theme="1"/>
      </font>
    </dxf>
    <dxf>
      <font>
        <b/>
        <color theme="1"/>
      </font>
      <border>
        <top style="double">
          <color theme="9"/>
        </top>
      </border>
    </dxf>
    <dxf>
      <font>
        <b/>
        <i val="0"/>
        <color auto="1"/>
      </font>
      <fill>
        <patternFill patternType="solid">
          <fgColor theme="9" tint="0.79998168889431442"/>
          <bgColor theme="9" tint="0.79998168889431442"/>
        </patternFill>
      </fill>
    </dxf>
    <dxf>
      <font>
        <color theme="1"/>
      </font>
      <border>
        <left style="thin">
          <color theme="9"/>
        </left>
        <right style="thin">
          <color theme="9"/>
        </right>
        <top style="thin">
          <color theme="9"/>
        </top>
        <bottom style="thin">
          <color theme="9"/>
        </bottom>
      </border>
    </dxf>
  </dxfs>
  <tableStyles count="1" defaultTableStyle="TableStyleMedium2" defaultPivotStyle="PivotStyleLight16">
    <tableStyle name="MiappeStyle" pivot="0" count="9" xr9:uid="{59C54380-D204-4007-9CC6-0890CCDEE3C9}">
      <tableStyleElement type="wholeTable" dxfId="138"/>
      <tableStyleElement type="headerRow" dxfId="137"/>
      <tableStyleElement type="totalRow" dxfId="136"/>
      <tableStyleElement type="firstColumn" dxfId="135"/>
      <tableStyleElement type="lastColumn" dxfId="134"/>
      <tableStyleElement type="firstRowStripe" dxfId="133"/>
      <tableStyleElement type="secondRowStripe" dxfId="132"/>
      <tableStyleElement type="firstColumnStripe" dxfId="131"/>
      <tableStyleElement type="secondColumnStripe" dxfId="13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AF6C71-E30B-48EC-A84C-21302F8FBBD8}" name="investigation" displayName="investigation" ref="A1:H2" totalsRowShown="0" headerRowDxfId="107" dataDxfId="106">
  <autoFilter ref="A1:H2" xr:uid="{D8AF6C71-E30B-48EC-A84C-21302F8FBBD8}"/>
  <tableColumns count="8">
    <tableColumn id="1" xr3:uid="{25F01F79-3E24-44AF-B5E3-4EB20FD9A360}" name="investigationId" dataDxfId="105"/>
    <tableColumn id="2" xr3:uid="{16E59F0F-AC6D-4504-A428-E7D7AC601401}" name="investigationTitle" dataDxfId="104"/>
    <tableColumn id="3" xr3:uid="{4668A34F-CEFF-43A7-84AA-B014E3A90F47}" name="investigationDescription" dataDxfId="103"/>
    <tableColumn id="4" xr3:uid="{403353FA-EBA5-418F-8273-81472CDF29D4}" name="submissionDate" dataDxfId="102"/>
    <tableColumn id="5" xr3:uid="{18E43DB3-511F-4E0E-B357-B4A6E40F0660}" name="publicReleaseDate" dataDxfId="101"/>
    <tableColumn id="6" xr3:uid="{91C01C8C-69AF-4B74-BA16-1C962EDAF32D}" name="license" dataDxfId="100"/>
    <tableColumn id="7" xr3:uid="{E94BB99A-781A-4442-AD9C-7E4D99028DC9}" name="miappeVersion" dataDxfId="99"/>
    <tableColumn id="8" xr3:uid="{91B9E445-65BD-412A-95C1-EA371F946FCA}" name="associatedPublication" dataDxfId="98"/>
  </tableColumns>
  <tableStyleInfo name="Miappe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227E83-2F05-4244-925F-48F9556390CD}" name="study" displayName="study" ref="A1:T3" totalsRowShown="0" dataDxfId="97">
  <autoFilter ref="A1:T3" xr:uid="{5E227E83-2F05-4244-925F-48F9556390CD}"/>
  <tableColumns count="20">
    <tableColumn id="1" xr3:uid="{EE95CF2F-813E-4690-97C4-79C304F65B9C}" name="studyId" dataDxfId="96"/>
    <tableColumn id="20" xr3:uid="{B540CC62-E9C4-45D9-ADBE-8B9EAB4D0769}" name="sourceStudyId" dataDxfId="95"/>
    <tableColumn id="2" xr3:uid="{799EAD4E-60F7-47E4-B3B2-8BD859F0673D}" name="studyTitle" dataDxfId="94"/>
    <tableColumn id="3" xr3:uid="{A2063A94-CC8E-425D-A71D-C0EDE3148180}" name="studyDescription" dataDxfId="93"/>
    <tableColumn id="4" xr3:uid="{4DCF1664-298B-4E1C-8B80-483A31FB0BDB}" name="studyStartDate" dataDxfId="92"/>
    <tableColumn id="5" xr3:uid="{E557DB42-3379-4598-AAF9-21798BC64DAB}" name="studyEndDate" dataDxfId="91"/>
    <tableColumn id="6" xr3:uid="{1EEA2EC5-CA19-40B4-9DFB-2DE9A9E916EA}" name="contactInst" dataDxfId="90"/>
    <tableColumn id="7" xr3:uid="{E0A5C222-CFE5-4E9C-8E84-0892043DBD21}" name="locationCountry" dataDxfId="89"/>
    <tableColumn id="8" xr3:uid="{7B635D2A-56C5-48B0-A880-E33ADE030AB1}" name="siteName" dataDxfId="88"/>
    <tableColumn id="9" xr3:uid="{2F8227C3-F11C-4DAA-93EB-CEBD94FF81A9}" name="locationLatitude" dataDxfId="87"/>
    <tableColumn id="10" xr3:uid="{6A14EB46-0BF4-45C6-9048-E1B7D13E633A}" name="locationLongitude" dataDxfId="86"/>
    <tableColumn id="11" xr3:uid="{9954429A-AA41-408C-BB04-D73EDB89D73F}" name="locationAltitude" dataDxfId="85"/>
    <tableColumn id="12" xr3:uid="{39FEDA43-D994-4742-B319-3DFED43EF79B}" name="expeDesignDesc" dataDxfId="84"/>
    <tableColumn id="13" xr3:uid="{C9F6A881-1CF1-4AD9-8305-B7E26FD78E3B}" name="expeDesignType" dataDxfId="83"/>
    <tableColumn id="14" xr3:uid="{253A58C7-1A2A-4D25-9622-3AE33F89A685}" name="obsUnitLevelHierarchy" dataDxfId="82"/>
    <tableColumn id="15" xr3:uid="{10DCEB5F-0BF5-4476-83E5-B973A516A8CD}" name="obsUnitDesc" dataDxfId="81"/>
    <tableColumn id="16" xr3:uid="{0D36E7FE-2245-4B79-9A59-4C64590731A5}" name="growthFacilityDesc" dataDxfId="80"/>
    <tableColumn id="17" xr3:uid="{599307E8-6E88-4D3F-BF48-ADF70D109D18}" name="growthFacilityType" dataDxfId="79"/>
    <tableColumn id="18" xr3:uid="{63403E81-283C-4E2E-984D-9EFC0886E90C}" name="culturalPractice" dataDxfId="78"/>
    <tableColumn id="19" xr3:uid="{E74D4B3A-67BC-482F-8485-FC7D9088A8B6}" name="expeDesignMap" dataDxfId="77"/>
  </tableColumns>
  <tableStyleInfo name="Miappe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FBCF0B0-7AB0-436F-9431-67BEDDE78EB3}" name="person" displayName="person" ref="A1:F2" insertRow="1" totalsRowShown="0" headerRowDxfId="76" dataDxfId="75">
  <autoFilter ref="A1:F2" xr:uid="{2FBCF0B0-7AB0-436F-9431-67BEDDE78EB3}"/>
  <tableColumns count="6">
    <tableColumn id="1" xr3:uid="{49A703DB-336A-4F60-9DA6-8249763A2765}" name="studyId" dataDxfId="74"/>
    <tableColumn id="2" xr3:uid="{65039BF4-A122-4B88-8EB2-FD3ED61B8912}" name="personName" dataDxfId="73"/>
    <tableColumn id="3" xr3:uid="{4B7588A4-B756-4E28-B8A4-AFB8D62031B4}" name="personEmail" dataDxfId="72"/>
    <tableColumn id="4" xr3:uid="{639FC837-B543-4A62-B2C2-3EE761EF5EF7}" name="personId" dataDxfId="71"/>
    <tableColumn id="5" xr3:uid="{593F31A8-CDAA-47CF-89F3-2902C6B8D3C8}" name="personRole" dataDxfId="70"/>
    <tableColumn id="6" xr3:uid="{5FCF059F-31D5-4218-8D81-DC379C42EAF4}" name="personAffiliation" dataDxfId="69"/>
  </tableColumns>
  <tableStyleInfo name="Miappe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BD8AE-973B-42AE-B791-86C37DE5452E}" name="dataFile" displayName="dataFile" ref="A1:D2" insertRow="1" totalsRowShown="0" headerRowDxfId="68" dataDxfId="67">
  <autoFilter ref="A1:D2" xr:uid="{6A3BD8AE-973B-42AE-B791-86C37DE5452E}"/>
  <tableColumns count="4">
    <tableColumn id="1" xr3:uid="{AD6A7B95-2E4C-4264-86B4-35031C8932E3}" name="studyId" dataDxfId="66"/>
    <tableColumn id="2" xr3:uid="{A5C92CF7-B78F-4910-A250-8A16D6E7889C}" name="dataFileLink" dataDxfId="65"/>
    <tableColumn id="3" xr3:uid="{620AC217-74DA-496A-9696-16EF7D98E86C}" name="dataFileDesc" dataDxfId="64"/>
    <tableColumn id="4" xr3:uid="{79F128D7-FDA0-4F62-B04B-DAEE7E495850}" name="dataFileVersion" dataDxfId="63"/>
  </tableColumns>
  <tableStyleInfo name="Miappe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8645E7-2CD1-4841-84CC-19654A603435}" name="biologicalMaterial" displayName="biologicalMaterial" ref="A1:X2" insertRow="1" totalsRowShown="0" headerRowDxfId="62" dataDxfId="61">
  <autoFilter ref="A1:X2" xr:uid="{CD8645E7-2CD1-4841-84CC-19654A603435}"/>
  <tableColumns count="24">
    <tableColumn id="1" xr3:uid="{71E6992E-3AF7-4C8A-9C1E-930C105005E2}" name="studyId" dataDxfId="60"/>
    <tableColumn id="2" xr3:uid="{BA8B45A2-9F79-4EE6-A38F-EF56D5CE4A1A}" name="biologicalMaterialId" dataDxfId="59"/>
    <tableColumn id="3" xr3:uid="{546FEA19-FA9D-47D3-BF6E-57CDA029B0A3}" name="biologicalMaterialExtId" dataDxfId="58"/>
    <tableColumn id="4" xr3:uid="{0DD21880-A5E2-4076-AA9F-554DE7C7E0D1}" name="organism" dataDxfId="57"/>
    <tableColumn id="5" xr3:uid="{9760C8F1-7162-4A84-80C2-FBEC779AFAD0}" name="genus" dataDxfId="56"/>
    <tableColumn id="6" xr3:uid="{D7026284-DE40-4B04-A583-983A0B5FB5BB}" name="species" dataDxfId="55"/>
    <tableColumn id="7" xr3:uid="{22046373-BBD5-4919-AC4C-AA8E91D97026}" name="infraspecificName" dataDxfId="54"/>
    <tableColumn id="8" xr3:uid="{579B0DCA-BD9C-4E7B-BB3B-3FB19A4CBCA3}" name="biologicalMaterialLatitude" dataDxfId="53"/>
    <tableColumn id="9" xr3:uid="{A7E064AC-CDCF-4898-BEF3-07CF88887A4E}" name="biologicalMaterialLongitude" dataDxfId="52"/>
    <tableColumn id="10" xr3:uid="{D55DD07C-0BE6-4D7D-80E1-B7195245711A}" name="biologicalMaterialAltitude" dataDxfId="51"/>
    <tableColumn id="11" xr3:uid="{CA82A017-8E46-417C-9A1F-D7010C7B489F}" name="biologicalMaterialCoordUncertainty" dataDxfId="50"/>
    <tableColumn id="12" xr3:uid="{16F6B082-1241-4094-AFDC-6E6F5B63F502}" name="biologicalMaterialPreprocessing" dataDxfId="49"/>
    <tableColumn id="13" xr3:uid="{16F5564F-9F1B-4CEB-8DEC-4F46E89C2EB5}" name="materialSourceId" dataDxfId="48"/>
    <tableColumn id="14" xr3:uid="{0AB5DA63-1709-41B8-9FAD-5B1A8A45E649}" name="materialSourceDoi" dataDxfId="47"/>
    <tableColumn id="15" xr3:uid="{26116E4A-CA0A-4D6C-A863-AEA24B0E0C24}" name="materialSourceAccNumber" dataDxfId="46"/>
    <tableColumn id="16" xr3:uid="{0C2E647E-5127-470F-859E-ED727EEFA3B9}" name="materialSourceAccName" dataDxfId="45"/>
    <tableColumn id="17" xr3:uid="{B6097563-29EF-4C10-9096-04A2C164B15A}" name="materialSourceInstCode" dataDxfId="44"/>
    <tableColumn id="18" xr3:uid="{BEA38246-EAA3-4450-B29F-D608607C2513}" name="materialSourceInstName" dataDxfId="43"/>
    <tableColumn id="19" xr3:uid="{E8257013-CD5D-4534-9CD0-08D9EBBE7EF0}" name="materialSourceOtherIds" dataDxfId="42"/>
    <tableColumn id="20" xr3:uid="{BE0E6D94-2ED0-4863-9DE5-9AA6BD4643D6}" name="materialSourceLatitude" dataDxfId="41"/>
    <tableColumn id="21" xr3:uid="{BD849876-C99C-4475-87D4-DEECBE575F67}" name="materialSourceLongitude" dataDxfId="40"/>
    <tableColumn id="22" xr3:uid="{0C871681-B897-43DD-A6BE-F03CAA6574F6}" name="materialSourceAltitude" dataDxfId="39"/>
    <tableColumn id="23" xr3:uid="{ECC67BD8-3E1F-4A97-95B0-A9CCE07839CA}" name="materialSourceCoordUncertainty" dataDxfId="38"/>
    <tableColumn id="24" xr3:uid="{C66E78D2-DB97-4D59-8D52-ECE79ED6BB86}" name="materialSourceDesc" dataDxfId="37"/>
  </tableColumns>
  <tableStyleInfo name="Miapp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4F81EC-6E53-43AA-B6CF-9BA631481909}" name="environment" displayName="environment" ref="A1:C2" insertRow="1" totalsRowShown="0" headerRowDxfId="36">
  <autoFilter ref="A1:C2" xr:uid="{1C4F81EC-6E53-43AA-B6CF-9BA631481909}"/>
  <tableColumns count="3">
    <tableColumn id="1" xr3:uid="{08C0BD82-D970-44E6-99E3-B4872FECEFE5}" name="studyId" dataDxfId="35"/>
    <tableColumn id="2" xr3:uid="{F9DC7CC5-88B3-4A9A-B462-9FB971836B81}" name="envParam" dataDxfId="34"/>
    <tableColumn id="3" xr3:uid="{65E72A00-3C03-4A17-922C-EE6A4A3D8D80}" name="envParamValue" dataDxfId="33"/>
  </tableColumns>
  <tableStyleInfo name="Miapp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B56221-E63F-405B-979B-FD6B29D3B9AE}" name="experimentalFactor" displayName="experimentalFactor" ref="A1:F2" totalsRowShown="0" headerRowDxfId="32">
  <autoFilter ref="A1:F2" xr:uid="{9DB56221-E63F-405B-979B-FD6B29D3B9AE}"/>
  <tableColumns count="6">
    <tableColumn id="1" xr3:uid="{8033D24B-35FE-4753-9513-1BA7E8E27122}" name="studyId" dataDxfId="31"/>
    <tableColumn id="6" xr3:uid="{8AF0BF35-BAC4-4E9A-A1CC-B83DC7399496}" name="expeFactorCode" dataDxfId="30"/>
    <tableColumn id="5" xr3:uid="{67BFB12E-F4AF-4C45-B7B6-4791A656C30A}" name="expeFactorId" dataDxfId="29">
      <calculatedColumnFormula>CONCATENATE(experimentalFactor[studyId],"-",experimentalFactor[expeFactorCode])</calculatedColumnFormula>
    </tableColumn>
    <tableColumn id="2" xr3:uid="{0E59C639-24C1-40B6-85BF-F9DA37B289AF}" name="expeFactorType" dataDxfId="28"/>
    <tableColumn id="3" xr3:uid="{45088180-C6C0-4340-B527-76C01394AC82}" name="expeFactorDesc" dataDxfId="27"/>
    <tableColumn id="4" xr3:uid="{79953CF7-2E96-4871-AAED-69F19C77A395}" name="expeFactorValues" dataDxfId="26"/>
  </tableColumns>
  <tableStyleInfo name="Miappe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9BF05A2-1ABB-4D33-BC15-C5E51AF45999}" name="experimentalFactorLevel" displayName="experimentalFactorLevel" ref="A1:E2" totalsRowShown="0">
  <autoFilter ref="A1:E2" xr:uid="{C9BF05A2-1ABB-4D33-BC15-C5E51AF45999}"/>
  <tableColumns count="5">
    <tableColumn id="1" xr3:uid="{87ACD6F9-EF3B-4A5E-B872-92E772B18A0D}" name="expeFactorId"/>
    <tableColumn id="2" xr3:uid="{684FB454-4CC5-45F7-9C3C-B04475EADF64}" name="expeFactorLevelId">
      <calculatedColumnFormula>CONCATENATE(experimentalFactorLevel[expeFactorId],"-",experimentalFactorLevel[expeFactorLevelCode])</calculatedColumnFormula>
    </tableColumn>
    <tableColumn id="3" xr3:uid="{1C4A38F3-CA10-4B27-8557-5CEB94A37762}" name="expeFactorLevelCode"/>
    <tableColumn id="4" xr3:uid="{8AD64F88-1111-477C-8058-D8790CFA7C77}" name="expeFactorLevelAccession"/>
    <tableColumn id="5" xr3:uid="{925EFD52-D576-4B2F-BE3D-7FEE62D537D8}" name="expeFactorLevelDesc"/>
  </tableColumns>
  <tableStyleInfo name="Miappe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2243D7-2662-4692-B203-793CCE48631D}" name="event" displayName="event" ref="A1:G2" totalsRowShown="0" dataDxfId="25">
  <autoFilter ref="A1:G2" xr:uid="{E52243D7-2662-4692-B203-793CCE48631D}"/>
  <tableColumns count="7">
    <tableColumn id="1" xr3:uid="{DB25986C-BD6F-40F9-A226-C9A11BBDF460}" name="studyId" dataDxfId="24"/>
    <tableColumn id="2" xr3:uid="{6EE72788-DEAD-4FC0-9383-C6415EC5E8A5}" name="obsUnitId" dataDxfId="23"/>
    <tableColumn id="7" xr3:uid="{59210F7A-BDE1-4221-BA01-D09327E85900}" name="expeFactorLevelId" dataDxfId="0"/>
    <tableColumn id="3" xr3:uid="{0DDCD5FF-AC45-4794-9B28-BBD982C1FB84}" name="eventType" dataDxfId="22"/>
    <tableColumn id="4" xr3:uid="{F8E58477-EC1C-4F97-B99C-B939249E19E9}" name="eventAccNumber" dataDxfId="21"/>
    <tableColumn id="5" xr3:uid="{E826B0E9-8F41-4E58-9D61-690A1F38823F}" name="eventDesc" dataDxfId="20"/>
    <tableColumn id="6" xr3:uid="{6ABA4348-63AB-41DB-837E-5BE18C09264B}" name="eventDate" dataDxfId="19"/>
  </tableColumns>
  <tableStyleInfo name="Miappe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4F6851-A82A-4719-850B-9015CB0F68F5}" name="observationUnit" displayName="observationUnit" ref="A1:G2" insertRow="1" totalsRowShown="0" dataDxfId="18">
  <autoFilter ref="A1:G2" xr:uid="{9A4F6851-A82A-4719-850B-9015CB0F68F5}"/>
  <tableColumns count="7">
    <tableColumn id="1" xr3:uid="{67885524-1B5C-4054-BDDA-7439D87C65A3}" name="studyId" dataDxfId="17"/>
    <tableColumn id="2" xr3:uid="{BD42E68A-B0EE-4F6E-9323-7BF9B4395F28}" name="biologicalMaterialId" dataDxfId="16"/>
    <tableColumn id="3" xr3:uid="{ADEBC7D5-74AA-4299-BAA7-2B546D4FD4E2}" name="obsUnitId" dataDxfId="15"/>
    <tableColumn id="4" xr3:uid="{9981E5B4-9802-41A5-B134-7A7924A4B125}" name="obsUnitType" dataDxfId="14"/>
    <tableColumn id="5" xr3:uid="{CB30098B-ECC6-437C-9C2E-46BB51031C94}" name="externalId" dataDxfId="13"/>
    <tableColumn id="6" xr3:uid="{B9F1BB11-5258-49AF-A8C5-372071AA9FF3}" name="spatialDistribution" dataDxfId="12"/>
    <tableColumn id="7" xr3:uid="{7E1C2129-988B-4857-85FE-0F1EA951EBC7}" name="obsUnitFactorValue" dataDxfId="11"/>
  </tableColumns>
  <tableStyleInfo name="Miappe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D61A835-4FD1-495E-A537-D0167D8A5442}" name="sample" displayName="sample" ref="A1:G2" totalsRowShown="0" headerRowDxfId="10" dataDxfId="9">
  <autoFilter ref="A1:G2" xr:uid="{6D61A835-4FD1-495E-A537-D0167D8A5442}"/>
  <tableColumns count="7">
    <tableColumn id="1" xr3:uid="{92A1E618-2F85-46E4-B7EF-76ED045C215B}" name="obsUnitId" dataDxfId="8"/>
    <tableColumn id="2" xr3:uid="{A0DFEC37-340B-4DF8-907B-A9769602FD28}" name="sampleId" dataDxfId="7"/>
    <tableColumn id="3" xr3:uid="{D455AF29-BE41-4DDA-A9B2-A46F4EEA6767}" name="developmentStage" dataDxfId="6"/>
    <tableColumn id="4" xr3:uid="{C24109D3-E8A6-4810-A0A6-ACD6730F0D08}" name="anatomicalEntity" dataDxfId="5"/>
    <tableColumn id="5" xr3:uid="{5C630D57-B424-4325-BC0C-BEEBEDC89DBB}" name="sampleDesc" dataDxfId="4"/>
    <tableColumn id="6" xr3:uid="{CDEC6C64-2387-4FCF-9A2C-63F54020D0A0}" name="collectionDate" dataDxfId="3"/>
    <tableColumn id="7" xr3:uid="{FFB2A4F7-3C7D-4BC5-AD9E-C14C20349305}" name="externalId" dataDxfId="2"/>
  </tableColumns>
  <tableStyleInfo name="MiappeSty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DFDBC4-F33A-4222-BE29-11AF54DCA710}" name="observedVariable" displayName="observedVariable" ref="A1:U2" insertRow="1" totalsRowShown="0" dataDxfId="129">
  <autoFilter ref="A1:U2" xr:uid="{0EDFDBC4-F33A-4222-BE29-11AF54DCA710}"/>
  <tableColumns count="21">
    <tableColumn id="1" xr3:uid="{52AF96AA-DC3C-4AE1-9B73-089CA835EB6D}" name="studyId" dataDxfId="128"/>
    <tableColumn id="2" xr3:uid="{6323306B-E13C-4F7B-86EE-23DC8D1F262D}" name="variableId" dataDxfId="127"/>
    <tableColumn id="3" xr3:uid="{DAD62536-0510-4DD9-9444-8EBA12087E02}" name="variableName" dataDxfId="126"/>
    <tableColumn id="4" xr3:uid="{FD87E241-A1C6-4BF6-81FC-38FE779F31D6}" name="variableAccession" dataDxfId="125"/>
    <tableColumn id="5" xr3:uid="{ED4E4010-EAC9-4FB0-9577-906D949DB6BF}" name="traitName" dataDxfId="124"/>
    <tableColumn id="6" xr3:uid="{DA4A34B4-67B2-4ABC-9FA6-0EBFB54B964D}" name="traitEntity" dataDxfId="123"/>
    <tableColumn id="7" xr3:uid="{9A164C4C-E33C-4F52-9CA0-56F6EC009A34}" name="traitEntityAccession" dataDxfId="122"/>
    <tableColumn id="8" xr3:uid="{FB4A5310-40B1-46EF-B98F-2CA2AC87CE59}" name="traitCharacteristic" dataDxfId="121"/>
    <tableColumn id="9" xr3:uid="{59E17836-2938-469A-A999-F34CBAA00B67}" name="traitCharacteristicAccession" dataDxfId="120"/>
    <tableColumn id="10" xr3:uid="{7F9E3661-278E-45F4-A718-37C7F238C752}" name="traitAccession" dataDxfId="119"/>
    <tableColumn id="11" xr3:uid="{F49AEE2B-9512-4C72-A2BF-C945026C81A0}" name="methodName" dataDxfId="118"/>
    <tableColumn id="12" xr3:uid="{8099D3A2-60AE-4466-B82A-EEC20FC58B7B}" name="methodAccession" dataDxfId="117"/>
    <tableColumn id="13" xr3:uid="{6291B064-7EBD-42CC-B89D-568748A16FA5}" name="methodDesc" dataDxfId="116"/>
    <tableColumn id="14" xr3:uid="{A01FDF2D-88FC-405F-BF1E-14B20EABB5B5}" name="methodRef" dataDxfId="115"/>
    <tableColumn id="15" xr3:uid="{A15211C8-293C-4DE6-87B9-CF94F470AE75}" name="scaleName" dataDxfId="114"/>
    <tableColumn id="16" xr3:uid="{648CBC04-7A14-4F7F-A7AF-D119B1714850}" name="scaleAccession" dataDxfId="113"/>
    <tableColumn id="19" xr3:uid="{EE91A801-8376-4314-ADFB-6E32C3AE8AE4}" name="timeScale" dataDxfId="112"/>
    <tableColumn id="22" xr3:uid="{A52D8785-E3B2-4548-AA8A-0964285F0DB9}" name="participant" dataDxfId="111"/>
    <tableColumn id="21" xr3:uid="{CA21FA4C-5A61-4852-9BA7-6FDDF22D4ADC}" name="participantAccession" dataDxfId="110"/>
    <tableColumn id="20" xr3:uid="{3DF54E16-A553-4C7E-9762-C6517F5AD994}" name="participantRole" dataDxfId="109"/>
    <tableColumn id="17" xr3:uid="{AD46E78F-5D35-4B20-9822-0B2F83C5680D}" name="participantRoleAccession" dataDxfId="108"/>
  </tableColumns>
  <tableStyleInfo name="Miappe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B1F2FD5-EB26-42FD-AA78-B5395A6174BE}" name="environmentParameters" displayName="environmentParameters" ref="A1:C3" totalsRowShown="0" headerRowDxfId="1">
  <autoFilter ref="A1:C3" xr:uid="{AB1F2FD5-EB26-42FD-AA78-B5395A6174BE}"/>
  <tableColumns count="3">
    <tableColumn id="1" xr3:uid="{5E761B2A-3F92-4181-AF5D-F423F0564A09}" name="envParam"/>
    <tableColumn id="2" xr3:uid="{859D023A-B6BE-4E62-A854-739263E5E0C9}" name="envParamAccession" dataCellStyle="Hyperlink"/>
    <tableColumn id="3" xr3:uid="{86E20B70-FB31-402D-8CAA-272E40CA937F}" name="envParamDesc"/>
  </tableColumns>
  <tableStyleInfo name="TableStyleLight1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hyperlink" Target="http://purl.obolibrary.org/obo/AGRO_00000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A1:XFD980"/>
  <sheetViews>
    <sheetView zoomScaleNormal="100" workbookViewId="0">
      <selection activeCell="A3" sqref="A3"/>
    </sheetView>
  </sheetViews>
  <sheetFormatPr defaultColWidth="14.5703125" defaultRowHeight="15" x14ac:dyDescent="0.25"/>
  <cols>
    <col min="1" max="1" width="67.140625" customWidth="1"/>
    <col min="2" max="20" width="36.42578125" customWidth="1"/>
    <col min="16373" max="16384" width="11.42578125" customWidth="1"/>
  </cols>
  <sheetData>
    <row r="1" spans="1:20 16374:16384" s="5" customFormat="1" ht="26.25" x14ac:dyDescent="0.4">
      <c r="A1" s="1" t="s">
        <v>0</v>
      </c>
      <c r="B1" s="2" t="s">
        <v>1</v>
      </c>
      <c r="C1" s="3"/>
      <c r="D1" s="3"/>
      <c r="E1" s="3"/>
      <c r="F1" s="3"/>
      <c r="G1" s="3"/>
      <c r="H1" s="3"/>
      <c r="I1" s="3"/>
      <c r="J1" s="3"/>
      <c r="K1" s="3"/>
      <c r="L1" s="3"/>
      <c r="M1" s="4"/>
      <c r="N1" s="4"/>
      <c r="O1" s="4"/>
      <c r="P1" s="4"/>
      <c r="Q1" s="4"/>
      <c r="R1" s="4"/>
      <c r="S1" s="4"/>
      <c r="T1" s="4"/>
    </row>
    <row r="2" spans="1:20 16374:16384" s="9" customFormat="1" ht="15.75" x14ac:dyDescent="0.25">
      <c r="A2" s="6" t="s">
        <v>2</v>
      </c>
      <c r="B2" s="7"/>
      <c r="C2" s="7"/>
      <c r="D2" s="7"/>
      <c r="E2" s="7"/>
      <c r="F2" s="7"/>
      <c r="G2" s="7"/>
      <c r="H2" s="7"/>
      <c r="I2" s="7"/>
      <c r="J2" s="7"/>
      <c r="K2" s="7"/>
      <c r="L2" s="7"/>
      <c r="M2" s="8"/>
      <c r="N2" s="8"/>
      <c r="O2" s="8"/>
      <c r="P2" s="8"/>
      <c r="Q2" s="8"/>
      <c r="R2" s="8"/>
      <c r="S2" s="8"/>
      <c r="T2" s="8"/>
    </row>
    <row r="3" spans="1:20 16374:16384" s="9" customFormat="1" ht="98.45" customHeight="1" x14ac:dyDescent="0.3">
      <c r="A3" s="10" t="s">
        <v>682</v>
      </c>
      <c r="B3" s="7"/>
      <c r="C3" s="7"/>
      <c r="D3" s="7"/>
      <c r="E3" s="7"/>
      <c r="F3" s="7"/>
      <c r="G3" s="7"/>
      <c r="H3" s="7"/>
      <c r="I3" s="7"/>
      <c r="J3" s="7"/>
      <c r="K3" s="7"/>
      <c r="L3" s="7"/>
      <c r="M3" s="8"/>
      <c r="N3" s="8"/>
      <c r="O3" s="8"/>
      <c r="P3" s="8"/>
      <c r="Q3" s="8"/>
      <c r="R3" s="8"/>
      <c r="S3" s="8"/>
      <c r="T3" s="8"/>
    </row>
    <row r="4" spans="1:20 16374:16384" ht="56.65" customHeight="1" x14ac:dyDescent="0.3">
      <c r="A4" s="11" t="s">
        <v>3</v>
      </c>
      <c r="B4" s="12"/>
      <c r="C4" s="12"/>
      <c r="D4" s="12"/>
      <c r="E4" s="12"/>
      <c r="F4" s="12"/>
      <c r="G4" s="12"/>
      <c r="H4" s="12"/>
      <c r="I4" s="12"/>
      <c r="J4" s="12"/>
      <c r="K4" s="12"/>
      <c r="L4" s="12"/>
      <c r="M4" s="7"/>
      <c r="N4" s="7"/>
      <c r="O4" s="7"/>
      <c r="P4" s="7"/>
      <c r="Q4" s="7"/>
      <c r="R4" s="7"/>
      <c r="S4" s="7"/>
      <c r="T4" s="7"/>
    </row>
    <row r="5" spans="1:20 16374:16384" ht="63.75" x14ac:dyDescent="0.25">
      <c r="A5" s="13" t="s">
        <v>4</v>
      </c>
      <c r="B5" s="12"/>
      <c r="C5" s="12"/>
      <c r="D5" s="12"/>
      <c r="E5" s="12"/>
      <c r="F5" s="12"/>
      <c r="G5" s="12"/>
      <c r="H5" s="12"/>
      <c r="I5" s="12"/>
      <c r="J5" s="12"/>
      <c r="K5" s="12"/>
      <c r="L5" s="12"/>
      <c r="M5" s="7"/>
      <c r="N5" s="7"/>
      <c r="O5" s="7"/>
      <c r="P5" s="7"/>
      <c r="Q5" s="7"/>
      <c r="R5" s="7"/>
      <c r="S5" s="7"/>
      <c r="T5" s="7"/>
    </row>
    <row r="6" spans="1:20 16374:16384" ht="28.35" customHeight="1" x14ac:dyDescent="0.25">
      <c r="A6" s="14" t="s">
        <v>5</v>
      </c>
      <c r="B6" s="15" t="s">
        <v>6</v>
      </c>
      <c r="C6" s="16" t="s">
        <v>7</v>
      </c>
      <c r="D6" s="15" t="s">
        <v>8</v>
      </c>
      <c r="E6" s="17" t="s">
        <v>9</v>
      </c>
      <c r="F6" s="17" t="s">
        <v>10</v>
      </c>
      <c r="G6" s="15" t="s">
        <v>11</v>
      </c>
      <c r="H6" s="16" t="s">
        <v>12</v>
      </c>
      <c r="I6" s="17" t="s">
        <v>13</v>
      </c>
      <c r="J6" s="18"/>
      <c r="K6" s="18"/>
      <c r="L6" s="18"/>
      <c r="M6" s="18"/>
      <c r="N6" s="7"/>
      <c r="O6" s="7"/>
      <c r="P6" s="7"/>
      <c r="Q6" s="7"/>
      <c r="R6" s="7"/>
      <c r="S6" s="7"/>
      <c r="T6" s="7"/>
    </row>
    <row r="7" spans="1:20 16374:16384" ht="28.35" customHeight="1" x14ac:dyDescent="0.25">
      <c r="A7" s="14" t="s">
        <v>14</v>
      </c>
      <c r="B7" s="15" t="s">
        <v>15</v>
      </c>
      <c r="C7" s="16" t="s">
        <v>16</v>
      </c>
      <c r="D7" s="15" t="s">
        <v>17</v>
      </c>
      <c r="E7" s="17" t="s">
        <v>18</v>
      </c>
      <c r="F7" s="17" t="s">
        <v>19</v>
      </c>
      <c r="G7" s="15" t="s">
        <v>20</v>
      </c>
      <c r="H7" s="16" t="s">
        <v>21</v>
      </c>
      <c r="I7" s="17" t="s">
        <v>22</v>
      </c>
      <c r="J7" s="18"/>
      <c r="K7" s="18"/>
      <c r="L7" s="18"/>
      <c r="M7" s="18"/>
      <c r="N7" s="7"/>
      <c r="O7" s="7"/>
      <c r="P7" s="7"/>
      <c r="Q7" s="7"/>
      <c r="R7" s="7"/>
      <c r="S7" s="7"/>
      <c r="T7" s="7"/>
    </row>
    <row r="8" spans="1:20 16374:16384" s="22" customFormat="1" ht="63.75" x14ac:dyDescent="0.25">
      <c r="A8" s="17" t="s">
        <v>23</v>
      </c>
      <c r="B8" s="19" t="s">
        <v>24</v>
      </c>
      <c r="C8" s="19" t="s">
        <v>25</v>
      </c>
      <c r="D8" s="19" t="s">
        <v>26</v>
      </c>
      <c r="E8" s="19" t="s">
        <v>27</v>
      </c>
      <c r="F8" s="19" t="s">
        <v>28</v>
      </c>
      <c r="G8" s="19" t="s">
        <v>29</v>
      </c>
      <c r="H8" s="19" t="s">
        <v>30</v>
      </c>
      <c r="I8" s="19" t="s">
        <v>31</v>
      </c>
      <c r="J8" s="20"/>
      <c r="K8" s="20"/>
      <c r="L8" s="20"/>
      <c r="M8" s="20"/>
      <c r="N8" s="21"/>
      <c r="O8" s="21"/>
      <c r="P8" s="21"/>
      <c r="Q8" s="21"/>
      <c r="R8" s="21"/>
      <c r="S8" s="21"/>
      <c r="T8" s="21"/>
    </row>
    <row r="9" spans="1:20 16374:16384" s="22" customFormat="1" ht="114.75" x14ac:dyDescent="0.25">
      <c r="A9" s="17" t="s">
        <v>32</v>
      </c>
      <c r="B9" s="19" t="s">
        <v>33</v>
      </c>
      <c r="C9" s="19" t="s">
        <v>34</v>
      </c>
      <c r="D9" s="19" t="s">
        <v>35</v>
      </c>
      <c r="E9" s="23">
        <v>41260</v>
      </c>
      <c r="F9" s="23">
        <v>41330</v>
      </c>
      <c r="G9" s="19" t="s">
        <v>36</v>
      </c>
      <c r="H9" s="19">
        <v>1.1000000000000001</v>
      </c>
      <c r="I9" s="19" t="s">
        <v>37</v>
      </c>
      <c r="J9" s="20"/>
      <c r="K9" s="20"/>
      <c r="L9" s="20"/>
      <c r="M9" s="20"/>
      <c r="N9" s="21"/>
      <c r="O9" s="21"/>
      <c r="P9" s="21"/>
      <c r="Q9" s="21"/>
      <c r="R9" s="21"/>
      <c r="S9" s="21"/>
      <c r="T9" s="21"/>
    </row>
    <row r="10" spans="1:20 16374:16384" s="22" customFormat="1" x14ac:dyDescent="0.25">
      <c r="A10" s="17" t="s">
        <v>38</v>
      </c>
      <c r="B10" s="19" t="s">
        <v>39</v>
      </c>
      <c r="C10" s="19" t="s">
        <v>40</v>
      </c>
      <c r="D10" s="19" t="s">
        <v>41</v>
      </c>
      <c r="E10" s="19" t="s">
        <v>42</v>
      </c>
      <c r="F10" s="19" t="s">
        <v>42</v>
      </c>
      <c r="G10" s="19" t="s">
        <v>39</v>
      </c>
      <c r="H10" s="19" t="s">
        <v>43</v>
      </c>
      <c r="I10" s="19" t="s">
        <v>44</v>
      </c>
      <c r="J10" s="20"/>
      <c r="K10" s="20"/>
      <c r="L10" s="20"/>
      <c r="M10" s="20"/>
      <c r="N10" s="21"/>
      <c r="O10" s="21"/>
      <c r="P10" s="21"/>
      <c r="Q10" s="21"/>
      <c r="R10" s="21"/>
      <c r="S10" s="21"/>
      <c r="T10" s="21"/>
    </row>
    <row r="11" spans="1:20 16374:16384" ht="56.65" customHeight="1" x14ac:dyDescent="0.3">
      <c r="A11" s="11" t="s">
        <v>45</v>
      </c>
      <c r="B11" s="12"/>
      <c r="C11" s="12"/>
      <c r="D11" s="12"/>
      <c r="E11" s="12"/>
      <c r="F11" s="12"/>
      <c r="G11" s="12"/>
      <c r="H11" s="12"/>
      <c r="I11" s="12"/>
      <c r="J11" s="12"/>
      <c r="K11" s="12"/>
      <c r="L11" s="12"/>
      <c r="M11" s="7"/>
      <c r="N11" s="7"/>
      <c r="O11" s="7"/>
      <c r="P11" s="7"/>
      <c r="Q11" s="7"/>
      <c r="R11" s="7"/>
      <c r="S11" s="7"/>
      <c r="T11" s="7"/>
    </row>
    <row r="12" spans="1:20 16374:16384" ht="38.25" x14ac:dyDescent="0.25">
      <c r="A12" s="13" t="s">
        <v>46</v>
      </c>
      <c r="B12" s="12"/>
      <c r="C12" s="12"/>
      <c r="D12" s="12"/>
      <c r="E12" s="12"/>
      <c r="F12" s="12"/>
      <c r="G12" s="12"/>
      <c r="H12" s="12"/>
      <c r="I12" s="12"/>
      <c r="J12" s="12"/>
      <c r="K12" s="12"/>
      <c r="L12" s="12"/>
      <c r="M12" s="7"/>
      <c r="N12" s="7"/>
      <c r="O12" s="7"/>
      <c r="P12" s="7"/>
      <c r="Q12" s="7"/>
      <c r="R12" s="7"/>
      <c r="S12" s="7"/>
      <c r="T12" s="7"/>
    </row>
    <row r="13" spans="1:20 16374:16384" ht="28.35" customHeight="1" x14ac:dyDescent="0.25">
      <c r="A13" s="14" t="s">
        <v>5</v>
      </c>
      <c r="B13" s="16" t="s">
        <v>47</v>
      </c>
      <c r="C13" s="16" t="s">
        <v>48</v>
      </c>
      <c r="D13" s="15" t="s">
        <v>49</v>
      </c>
      <c r="E13" s="16" t="s">
        <v>50</v>
      </c>
      <c r="F13" s="15" t="s">
        <v>51</v>
      </c>
      <c r="G13" s="16" t="s">
        <v>52</v>
      </c>
      <c r="H13" s="16" t="s">
        <v>53</v>
      </c>
      <c r="I13" s="16" t="s">
        <v>54</v>
      </c>
      <c r="J13" s="15" t="s">
        <v>55</v>
      </c>
      <c r="K13" s="15" t="s">
        <v>56</v>
      </c>
      <c r="L13" s="15" t="s">
        <v>57</v>
      </c>
      <c r="M13" s="16" t="s">
        <v>58</v>
      </c>
      <c r="N13" s="17" t="s">
        <v>59</v>
      </c>
      <c r="O13" s="17" t="s">
        <v>60</v>
      </c>
      <c r="P13" s="16" t="s">
        <v>61</v>
      </c>
      <c r="Q13" s="16" t="s">
        <v>62</v>
      </c>
      <c r="R13" s="15" t="s">
        <v>63</v>
      </c>
      <c r="S13" s="17" t="s">
        <v>64</v>
      </c>
      <c r="T13" s="17" t="s">
        <v>65</v>
      </c>
    </row>
    <row r="14" spans="1:20 16374:16384" ht="28.35" customHeight="1" x14ac:dyDescent="0.25">
      <c r="A14" s="14" t="s">
        <v>14</v>
      </c>
      <c r="B14" s="16" t="s">
        <v>66</v>
      </c>
      <c r="C14" s="16" t="s">
        <v>67</v>
      </c>
      <c r="D14" s="15" t="s">
        <v>68</v>
      </c>
      <c r="E14" s="16" t="s">
        <v>69</v>
      </c>
      <c r="F14" s="15" t="s">
        <v>70</v>
      </c>
      <c r="G14" s="16" t="s">
        <v>71</v>
      </c>
      <c r="H14" s="16" t="s">
        <v>72</v>
      </c>
      <c r="I14" s="16" t="s">
        <v>73</v>
      </c>
      <c r="J14" s="15" t="s">
        <v>74</v>
      </c>
      <c r="K14" s="15" t="s">
        <v>75</v>
      </c>
      <c r="L14" s="15" t="s">
        <v>76</v>
      </c>
      <c r="M14" s="16" t="s">
        <v>77</v>
      </c>
      <c r="N14" s="17" t="s">
        <v>78</v>
      </c>
      <c r="O14" s="17" t="s">
        <v>79</v>
      </c>
      <c r="P14" s="16" t="s">
        <v>80</v>
      </c>
      <c r="Q14" s="16" t="s">
        <v>81</v>
      </c>
      <c r="R14" s="15" t="s">
        <v>82</v>
      </c>
      <c r="S14" s="24" t="s">
        <v>83</v>
      </c>
      <c r="T14" s="17" t="s">
        <v>84</v>
      </c>
    </row>
    <row r="15" spans="1:20 16374:16384" s="22" customFormat="1" ht="89.25" x14ac:dyDescent="0.25">
      <c r="A15" s="17" t="s">
        <v>23</v>
      </c>
      <c r="B15" s="19" t="s">
        <v>85</v>
      </c>
      <c r="C15" s="19" t="s">
        <v>86</v>
      </c>
      <c r="D15" s="19" t="s">
        <v>87</v>
      </c>
      <c r="E15" s="19" t="s">
        <v>88</v>
      </c>
      <c r="F15" s="19" t="s">
        <v>89</v>
      </c>
      <c r="G15" s="19" t="s">
        <v>90</v>
      </c>
      <c r="H15" s="19" t="s">
        <v>91</v>
      </c>
      <c r="I15" s="19" t="s">
        <v>92</v>
      </c>
      <c r="J15" s="19" t="s">
        <v>93</v>
      </c>
      <c r="K15" s="19" t="s">
        <v>94</v>
      </c>
      <c r="L15" s="19" t="s">
        <v>95</v>
      </c>
      <c r="M15" s="19" t="s">
        <v>96</v>
      </c>
      <c r="N15" s="25" t="s">
        <v>97</v>
      </c>
      <c r="O15" s="25" t="s">
        <v>98</v>
      </c>
      <c r="P15" s="25" t="s">
        <v>99</v>
      </c>
      <c r="Q15" s="25" t="s">
        <v>100</v>
      </c>
      <c r="R15" s="25" t="s">
        <v>101</v>
      </c>
      <c r="S15" s="25" t="s">
        <v>102</v>
      </c>
      <c r="T15" s="25" t="s">
        <v>103</v>
      </c>
      <c r="XET15"/>
      <c r="XEU15"/>
      <c r="XEV15"/>
      <c r="XEW15"/>
      <c r="XEX15"/>
      <c r="XEY15"/>
      <c r="XEZ15"/>
      <c r="XFA15"/>
      <c r="XFB15"/>
      <c r="XFC15"/>
      <c r="XFD15"/>
    </row>
    <row r="16" spans="1:20 16374:16384" s="22" customFormat="1" ht="76.5" x14ac:dyDescent="0.25">
      <c r="A16" s="17" t="s">
        <v>32</v>
      </c>
      <c r="B16" s="19" t="s">
        <v>104</v>
      </c>
      <c r="C16" s="19" t="s">
        <v>105</v>
      </c>
      <c r="D16" s="19" t="s">
        <v>106</v>
      </c>
      <c r="E16" s="23" t="s">
        <v>107</v>
      </c>
      <c r="F16" s="23">
        <v>37587</v>
      </c>
      <c r="G16" s="19" t="s">
        <v>108</v>
      </c>
      <c r="H16" s="19" t="s">
        <v>109</v>
      </c>
      <c r="I16" s="19" t="s">
        <v>110</v>
      </c>
      <c r="J16" s="19">
        <v>43.619264000000001</v>
      </c>
      <c r="K16" s="19">
        <v>3.967454</v>
      </c>
      <c r="L16" s="19" t="s">
        <v>111</v>
      </c>
      <c r="M16" s="19" t="s">
        <v>112</v>
      </c>
      <c r="N16" s="25" t="s">
        <v>113</v>
      </c>
      <c r="O16" s="25" t="s">
        <v>114</v>
      </c>
      <c r="P16" s="25" t="s">
        <v>115</v>
      </c>
      <c r="Q16" s="25" t="s">
        <v>116</v>
      </c>
      <c r="R16" s="25" t="s">
        <v>117</v>
      </c>
      <c r="S16" s="25" t="s">
        <v>118</v>
      </c>
      <c r="T16" s="25" t="s">
        <v>119</v>
      </c>
      <c r="XET16"/>
      <c r="XEU16"/>
      <c r="XEV16"/>
      <c r="XEW16"/>
      <c r="XEX16"/>
      <c r="XEY16"/>
      <c r="XEZ16"/>
      <c r="XFA16"/>
      <c r="XFB16"/>
      <c r="XFC16"/>
      <c r="XFD16"/>
    </row>
    <row r="17" spans="1:20 16374:16384" s="22" customFormat="1" ht="60" x14ac:dyDescent="0.25">
      <c r="A17" s="17" t="s">
        <v>38</v>
      </c>
      <c r="B17" s="19" t="s">
        <v>39</v>
      </c>
      <c r="C17" s="19" t="s">
        <v>40</v>
      </c>
      <c r="D17" s="19" t="s">
        <v>41</v>
      </c>
      <c r="E17" s="19" t="s">
        <v>42</v>
      </c>
      <c r="F17" s="19" t="s">
        <v>42</v>
      </c>
      <c r="G17" s="19" t="s">
        <v>40</v>
      </c>
      <c r="H17" s="19" t="s">
        <v>120</v>
      </c>
      <c r="I17" s="19" t="s">
        <v>40</v>
      </c>
      <c r="J17" s="19" t="s">
        <v>121</v>
      </c>
      <c r="K17" s="19" t="s">
        <v>121</v>
      </c>
      <c r="L17" s="19" t="s">
        <v>122</v>
      </c>
      <c r="M17" s="19" t="s">
        <v>41</v>
      </c>
      <c r="N17" s="25" t="s">
        <v>123</v>
      </c>
      <c r="O17" s="25" t="s">
        <v>124</v>
      </c>
      <c r="P17" s="25" t="s">
        <v>41</v>
      </c>
      <c r="Q17" s="25" t="s">
        <v>40</v>
      </c>
      <c r="R17" s="25" t="s">
        <v>125</v>
      </c>
      <c r="S17" s="25" t="s">
        <v>41</v>
      </c>
      <c r="T17" s="25" t="s">
        <v>126</v>
      </c>
      <c r="XET17"/>
      <c r="XEU17"/>
      <c r="XEV17"/>
      <c r="XEW17"/>
      <c r="XEX17"/>
      <c r="XEY17"/>
      <c r="XEZ17"/>
      <c r="XFA17"/>
      <c r="XFB17"/>
      <c r="XFC17"/>
      <c r="XFD17"/>
    </row>
    <row r="18" spans="1:20 16374:16384" ht="56.65" customHeight="1" x14ac:dyDescent="0.3">
      <c r="A18" s="11" t="s">
        <v>127</v>
      </c>
      <c r="B18" s="12"/>
      <c r="C18" s="12"/>
      <c r="D18" s="12"/>
      <c r="E18" s="12"/>
      <c r="F18" s="12"/>
      <c r="G18" s="12"/>
      <c r="H18" s="12"/>
      <c r="I18" s="12"/>
      <c r="J18" s="12"/>
      <c r="K18" s="12"/>
      <c r="L18" s="12"/>
      <c r="M18" s="7"/>
      <c r="N18" s="7"/>
      <c r="O18" s="7"/>
      <c r="P18" s="7"/>
      <c r="Q18" s="7"/>
      <c r="R18" s="7"/>
      <c r="S18" s="7"/>
      <c r="T18" s="7"/>
    </row>
    <row r="19" spans="1:20 16374:16384" ht="25.5" x14ac:dyDescent="0.25">
      <c r="A19" s="13" t="s">
        <v>128</v>
      </c>
      <c r="B19" s="12"/>
      <c r="C19" s="12"/>
      <c r="D19" s="12"/>
      <c r="E19" s="12"/>
      <c r="F19" s="12"/>
      <c r="G19" s="12"/>
      <c r="H19" s="12"/>
      <c r="I19" s="12"/>
      <c r="J19" s="12"/>
      <c r="K19" s="12"/>
      <c r="L19" s="12"/>
      <c r="M19" s="7"/>
      <c r="N19" s="7"/>
      <c r="O19" s="7"/>
      <c r="P19" s="7"/>
      <c r="Q19" s="7"/>
      <c r="R19" s="7"/>
      <c r="S19" s="7"/>
      <c r="T19" s="7"/>
    </row>
    <row r="20" spans="1:20 16374:16384" ht="28.35" customHeight="1" x14ac:dyDescent="0.25">
      <c r="A20" s="14" t="s">
        <v>5</v>
      </c>
      <c r="B20" s="15" t="s">
        <v>47</v>
      </c>
      <c r="C20" s="16" t="s">
        <v>129</v>
      </c>
      <c r="D20" s="17" t="s">
        <v>130</v>
      </c>
      <c r="E20" s="15" t="s">
        <v>131</v>
      </c>
      <c r="F20" s="16" t="s">
        <v>132</v>
      </c>
      <c r="G20" s="16" t="s">
        <v>133</v>
      </c>
      <c r="H20" s="7"/>
      <c r="I20" s="7"/>
      <c r="J20" s="7"/>
      <c r="K20" s="7"/>
      <c r="L20" s="7"/>
      <c r="M20" s="7"/>
      <c r="N20" s="7"/>
      <c r="O20" s="7"/>
      <c r="P20" s="7"/>
      <c r="Q20" s="7"/>
      <c r="R20" s="7"/>
      <c r="S20" s="7"/>
      <c r="T20" s="7"/>
    </row>
    <row r="21" spans="1:20 16374:16384" ht="28.35" customHeight="1" x14ac:dyDescent="0.25">
      <c r="A21" s="14" t="s">
        <v>14</v>
      </c>
      <c r="B21" s="15" t="s">
        <v>66</v>
      </c>
      <c r="C21" s="16" t="s">
        <v>134</v>
      </c>
      <c r="D21" s="17" t="s">
        <v>135</v>
      </c>
      <c r="E21" s="15" t="s">
        <v>136</v>
      </c>
      <c r="F21" s="16" t="s">
        <v>137</v>
      </c>
      <c r="G21" s="16" t="s">
        <v>138</v>
      </c>
      <c r="H21" s="7"/>
      <c r="I21" s="7"/>
      <c r="J21" s="7"/>
      <c r="K21" s="7"/>
      <c r="L21" s="7"/>
      <c r="M21" s="7"/>
      <c r="N21" s="7"/>
      <c r="O21" s="7"/>
      <c r="P21" s="7"/>
      <c r="Q21" s="7"/>
      <c r="R21" s="7"/>
      <c r="S21" s="7"/>
      <c r="T21" s="7"/>
    </row>
    <row r="22" spans="1:20 16374:16384" s="22" customFormat="1" ht="51" x14ac:dyDescent="0.25">
      <c r="A22" s="17" t="s">
        <v>23</v>
      </c>
      <c r="B22" s="19" t="s">
        <v>139</v>
      </c>
      <c r="C22" s="19" t="s">
        <v>140</v>
      </c>
      <c r="D22" s="19" t="s">
        <v>141</v>
      </c>
      <c r="E22" s="19" t="s">
        <v>142</v>
      </c>
      <c r="F22" s="19" t="s">
        <v>143</v>
      </c>
      <c r="G22" s="19" t="s">
        <v>144</v>
      </c>
      <c r="H22" s="20"/>
      <c r="I22" s="20"/>
      <c r="J22" s="20"/>
      <c r="K22" s="20"/>
      <c r="L22" s="20"/>
      <c r="M22" s="20"/>
      <c r="N22" s="21"/>
      <c r="O22" s="21"/>
      <c r="P22" s="21"/>
      <c r="Q22" s="21"/>
      <c r="R22" s="21"/>
      <c r="S22" s="21"/>
      <c r="T22" s="21"/>
      <c r="XET22"/>
      <c r="XEU22"/>
      <c r="XEV22"/>
      <c r="XEW22"/>
      <c r="XEX22"/>
      <c r="XEY22"/>
      <c r="XEZ22"/>
      <c r="XFA22"/>
      <c r="XFB22"/>
      <c r="XFC22"/>
      <c r="XFD22"/>
    </row>
    <row r="23" spans="1:20 16374:16384" s="22" customFormat="1" ht="30" x14ac:dyDescent="0.25">
      <c r="A23" s="17" t="s">
        <v>32</v>
      </c>
      <c r="B23" s="19" t="s">
        <v>145</v>
      </c>
      <c r="C23" s="19" t="s">
        <v>146</v>
      </c>
      <c r="D23" s="19" t="s">
        <v>147</v>
      </c>
      <c r="E23" s="23" t="s">
        <v>148</v>
      </c>
      <c r="F23" s="23" t="s">
        <v>149</v>
      </c>
      <c r="G23" s="19" t="s">
        <v>150</v>
      </c>
      <c r="H23" s="20"/>
      <c r="I23" s="20"/>
      <c r="J23" s="20"/>
      <c r="K23" s="20"/>
      <c r="L23" s="20"/>
      <c r="M23" s="20"/>
      <c r="N23" s="21"/>
      <c r="O23" s="21"/>
      <c r="P23" s="21"/>
      <c r="Q23" s="21"/>
      <c r="R23" s="21"/>
      <c r="S23" s="21"/>
      <c r="T23" s="21"/>
      <c r="XET23"/>
      <c r="XEU23"/>
      <c r="XEV23"/>
      <c r="XEW23"/>
      <c r="XEX23"/>
      <c r="XEY23"/>
      <c r="XEZ23"/>
      <c r="XFA23"/>
      <c r="XFB23"/>
      <c r="XFC23"/>
      <c r="XFD23"/>
    </row>
    <row r="24" spans="1:20 16374:16384" s="22" customFormat="1" x14ac:dyDescent="0.25">
      <c r="A24" s="17" t="s">
        <v>38</v>
      </c>
      <c r="B24" s="19" t="s">
        <v>151</v>
      </c>
      <c r="C24" s="19" t="s">
        <v>152</v>
      </c>
      <c r="D24" s="19" t="s">
        <v>153</v>
      </c>
      <c r="E24" s="19" t="s">
        <v>39</v>
      </c>
      <c r="F24" s="19" t="s">
        <v>40</v>
      </c>
      <c r="G24" s="19" t="s">
        <v>40</v>
      </c>
      <c r="H24" s="20"/>
      <c r="I24" s="20"/>
      <c r="J24" s="20"/>
      <c r="K24" s="20"/>
      <c r="L24" s="20"/>
      <c r="M24" s="20"/>
      <c r="N24" s="21"/>
      <c r="O24" s="21"/>
      <c r="P24" s="21"/>
      <c r="Q24" s="21"/>
      <c r="R24" s="21"/>
      <c r="S24" s="21"/>
      <c r="T24" s="21"/>
      <c r="XET24"/>
      <c r="XEU24"/>
      <c r="XEV24"/>
      <c r="XEW24"/>
      <c r="XEX24"/>
      <c r="XEY24"/>
      <c r="XEZ24"/>
      <c r="XFA24"/>
      <c r="XFB24"/>
      <c r="XFC24"/>
      <c r="XFD24"/>
    </row>
    <row r="25" spans="1:20 16374:16384" ht="56.65" customHeight="1" x14ac:dyDescent="0.3">
      <c r="A25" s="26" t="s">
        <v>154</v>
      </c>
      <c r="B25" s="12"/>
      <c r="C25" s="12"/>
      <c r="D25" s="12"/>
      <c r="E25" s="12"/>
      <c r="F25" s="12"/>
      <c r="G25" s="12"/>
      <c r="H25" s="12"/>
      <c r="I25" s="12"/>
      <c r="J25" s="12"/>
      <c r="K25" s="12"/>
      <c r="L25" s="12"/>
      <c r="M25" s="7"/>
      <c r="N25" s="7"/>
      <c r="O25" s="7"/>
      <c r="P25" s="7"/>
      <c r="Q25" s="7"/>
      <c r="R25" s="7"/>
      <c r="S25" s="7"/>
      <c r="T25" s="7"/>
    </row>
    <row r="26" spans="1:20 16374:16384" ht="51" x14ac:dyDescent="0.25">
      <c r="A26" s="13" t="s">
        <v>155</v>
      </c>
      <c r="B26" s="12"/>
      <c r="C26" s="12"/>
      <c r="D26" s="12"/>
      <c r="E26" s="12"/>
      <c r="F26" s="12"/>
      <c r="G26" s="12"/>
      <c r="H26" s="12"/>
      <c r="I26" s="12"/>
      <c r="J26" s="12"/>
      <c r="K26" s="12"/>
      <c r="L26" s="12"/>
      <c r="M26" s="7"/>
      <c r="N26" s="7"/>
      <c r="O26" s="7"/>
      <c r="P26" s="7"/>
      <c r="Q26" s="7"/>
      <c r="R26" s="7"/>
      <c r="S26" s="7"/>
      <c r="T26" s="7"/>
    </row>
    <row r="27" spans="1:20 16374:16384" ht="28.35" customHeight="1" x14ac:dyDescent="0.25">
      <c r="A27" s="14" t="s">
        <v>5</v>
      </c>
      <c r="B27" s="16" t="s">
        <v>47</v>
      </c>
      <c r="C27" s="16" t="s">
        <v>156</v>
      </c>
      <c r="D27" s="16" t="s">
        <v>157</v>
      </c>
      <c r="E27" s="16" t="s">
        <v>158</v>
      </c>
      <c r="F27" s="7"/>
      <c r="G27" s="7"/>
      <c r="H27" s="7"/>
      <c r="I27" s="7"/>
      <c r="J27" s="7"/>
      <c r="K27" s="7"/>
      <c r="L27" s="7"/>
      <c r="M27" s="7"/>
      <c r="N27" s="7"/>
      <c r="O27" s="7"/>
      <c r="P27" s="7"/>
      <c r="Q27" s="7"/>
      <c r="R27" s="7"/>
      <c r="S27" s="7"/>
      <c r="T27" s="7"/>
    </row>
    <row r="28" spans="1:20 16374:16384" ht="28.35" customHeight="1" x14ac:dyDescent="0.25">
      <c r="A28" s="14" t="s">
        <v>14</v>
      </c>
      <c r="B28" s="16" t="s">
        <v>66</v>
      </c>
      <c r="C28" s="16" t="s">
        <v>159</v>
      </c>
      <c r="D28" s="16" t="s">
        <v>160</v>
      </c>
      <c r="E28" s="16" t="s">
        <v>161</v>
      </c>
      <c r="F28" s="7"/>
      <c r="G28" s="7"/>
      <c r="H28" s="7"/>
      <c r="I28" s="7"/>
      <c r="J28" s="7"/>
      <c r="K28" s="7"/>
      <c r="L28" s="7"/>
      <c r="M28" s="7"/>
      <c r="N28" s="7"/>
      <c r="O28" s="7"/>
      <c r="P28" s="7"/>
      <c r="Q28" s="7"/>
      <c r="R28" s="7"/>
      <c r="S28" s="7"/>
      <c r="T28" s="7"/>
    </row>
    <row r="29" spans="1:20 16374:16384" s="22" customFormat="1" ht="63.75" x14ac:dyDescent="0.25">
      <c r="A29" s="17" t="s">
        <v>23</v>
      </c>
      <c r="B29" s="19" t="s">
        <v>162</v>
      </c>
      <c r="C29" s="19" t="s">
        <v>163</v>
      </c>
      <c r="D29" s="19" t="s">
        <v>164</v>
      </c>
      <c r="E29" s="19" t="s">
        <v>165</v>
      </c>
      <c r="F29" s="20"/>
      <c r="G29" s="20"/>
      <c r="H29" s="20"/>
      <c r="I29" s="20"/>
      <c r="J29" s="20"/>
      <c r="K29" s="20"/>
      <c r="L29" s="20"/>
      <c r="M29" s="20"/>
      <c r="N29" s="21"/>
      <c r="O29" s="21"/>
      <c r="P29" s="21"/>
      <c r="Q29" s="21"/>
      <c r="R29" s="21"/>
      <c r="S29" s="21"/>
      <c r="T29" s="21"/>
      <c r="XET29"/>
      <c r="XEU29"/>
      <c r="XEV29"/>
      <c r="XEW29"/>
      <c r="XEX29"/>
      <c r="XEY29"/>
      <c r="XEZ29"/>
      <c r="XFA29"/>
      <c r="XFB29"/>
      <c r="XFC29"/>
      <c r="XFD29"/>
    </row>
    <row r="30" spans="1:20 16374:16384" s="22" customFormat="1" ht="25.5" x14ac:dyDescent="0.25">
      <c r="A30" s="17" t="s">
        <v>32</v>
      </c>
      <c r="B30" s="19" t="s">
        <v>145</v>
      </c>
      <c r="C30" s="19" t="s">
        <v>166</v>
      </c>
      <c r="D30" s="19" t="s">
        <v>167</v>
      </c>
      <c r="E30" s="23">
        <v>1</v>
      </c>
      <c r="F30" s="27"/>
      <c r="G30" s="20"/>
      <c r="H30" s="20"/>
      <c r="I30" s="20"/>
      <c r="J30" s="20"/>
      <c r="K30" s="20"/>
      <c r="L30" s="20"/>
      <c r="M30" s="20"/>
      <c r="N30" s="21"/>
      <c r="O30" s="21"/>
      <c r="P30" s="21"/>
      <c r="Q30" s="21"/>
      <c r="R30" s="21"/>
      <c r="S30" s="21"/>
      <c r="T30" s="21"/>
      <c r="XET30"/>
      <c r="XEU30"/>
      <c r="XEV30"/>
      <c r="XEW30"/>
      <c r="XEX30"/>
      <c r="XEY30"/>
      <c r="XEZ30"/>
      <c r="XFA30"/>
      <c r="XFB30"/>
      <c r="XFC30"/>
      <c r="XFD30"/>
    </row>
    <row r="31" spans="1:20 16374:16384" s="22" customFormat="1" x14ac:dyDescent="0.25">
      <c r="A31" s="17" t="s">
        <v>38</v>
      </c>
      <c r="B31" s="19" t="s">
        <v>151</v>
      </c>
      <c r="C31" s="19" t="s">
        <v>168</v>
      </c>
      <c r="D31" s="19" t="s">
        <v>40</v>
      </c>
      <c r="E31" s="19" t="s">
        <v>169</v>
      </c>
      <c r="F31" s="20"/>
      <c r="G31" s="20"/>
      <c r="H31" s="20"/>
      <c r="I31" s="20"/>
      <c r="J31" s="20"/>
      <c r="K31" s="20"/>
      <c r="L31" s="20"/>
      <c r="M31" s="20"/>
      <c r="N31" s="21"/>
      <c r="O31" s="21"/>
      <c r="P31" s="21"/>
      <c r="Q31" s="21"/>
      <c r="R31" s="21"/>
      <c r="S31" s="21"/>
      <c r="T31" s="21"/>
      <c r="XET31"/>
      <c r="XEU31"/>
      <c r="XEV31"/>
      <c r="XEW31"/>
      <c r="XEX31"/>
      <c r="XEY31"/>
      <c r="XEZ31"/>
      <c r="XFA31"/>
      <c r="XFB31"/>
      <c r="XFC31"/>
      <c r="XFD31"/>
    </row>
    <row r="32" spans="1:20 16374:16384" ht="56.65" customHeight="1" x14ac:dyDescent="0.3">
      <c r="A32" s="11" t="s">
        <v>170</v>
      </c>
      <c r="B32" s="12"/>
      <c r="C32" s="12"/>
      <c r="D32" s="12"/>
      <c r="E32" s="12"/>
      <c r="F32" s="12"/>
      <c r="G32" s="12"/>
      <c r="H32" s="12"/>
      <c r="I32" s="12"/>
      <c r="J32" s="12"/>
      <c r="K32" s="12"/>
      <c r="L32" s="12"/>
      <c r="M32" s="7"/>
      <c r="N32" s="7"/>
      <c r="O32" s="7"/>
      <c r="P32" s="7"/>
      <c r="Q32" s="7"/>
      <c r="R32" s="7"/>
      <c r="S32" s="7"/>
      <c r="T32" s="7"/>
    </row>
    <row r="33" spans="1:25 16374:16384" ht="63.75" x14ac:dyDescent="0.25">
      <c r="A33" s="13" t="s">
        <v>171</v>
      </c>
      <c r="B33" s="12"/>
      <c r="C33" s="12"/>
      <c r="D33" s="12"/>
      <c r="E33" s="12"/>
      <c r="F33" s="12"/>
      <c r="G33" s="12"/>
      <c r="H33" s="12"/>
      <c r="I33" s="12"/>
      <c r="J33" s="12"/>
      <c r="K33" s="12"/>
      <c r="L33" s="12"/>
      <c r="M33" s="7"/>
      <c r="N33" s="7"/>
      <c r="O33" s="7"/>
      <c r="P33" s="7"/>
      <c r="Q33" s="7"/>
      <c r="R33" s="7"/>
      <c r="S33" s="7"/>
      <c r="T33" s="7"/>
    </row>
    <row r="34" spans="1:25 16374:16384" ht="28.35" customHeight="1" x14ac:dyDescent="0.25">
      <c r="A34" s="14" t="s">
        <v>5</v>
      </c>
      <c r="B34" s="16" t="s">
        <v>47</v>
      </c>
      <c r="C34" s="16" t="s">
        <v>172</v>
      </c>
      <c r="D34" s="15" t="s">
        <v>173</v>
      </c>
      <c r="E34" s="15" t="s">
        <v>174</v>
      </c>
      <c r="F34" s="15" t="s">
        <v>175</v>
      </c>
      <c r="G34" s="15" t="s">
        <v>176</v>
      </c>
      <c r="H34" s="15" t="s">
        <v>177</v>
      </c>
      <c r="I34" s="17" t="s">
        <v>178</v>
      </c>
      <c r="J34" s="17" t="s">
        <v>179</v>
      </c>
      <c r="K34" s="17" t="s">
        <v>180</v>
      </c>
      <c r="L34" s="17" t="s">
        <v>181</v>
      </c>
      <c r="M34" s="17" t="s">
        <v>182</v>
      </c>
      <c r="N34" s="15" t="s">
        <v>183</v>
      </c>
      <c r="O34" s="15" t="s">
        <v>184</v>
      </c>
      <c r="P34" s="17" t="s">
        <v>185</v>
      </c>
      <c r="Q34" s="17" t="s">
        <v>186</v>
      </c>
      <c r="R34" s="17" t="s">
        <v>187</v>
      </c>
      <c r="S34" s="17" t="s">
        <v>188</v>
      </c>
      <c r="T34" s="17" t="s">
        <v>189</v>
      </c>
      <c r="U34" s="17" t="s">
        <v>190</v>
      </c>
      <c r="V34" s="17" t="s">
        <v>191</v>
      </c>
      <c r="W34" s="17" t="s">
        <v>192</v>
      </c>
      <c r="X34" s="17" t="s">
        <v>193</v>
      </c>
      <c r="Y34" s="17" t="s">
        <v>194</v>
      </c>
    </row>
    <row r="35" spans="1:25 16374:16384" ht="28.35" customHeight="1" x14ac:dyDescent="0.25">
      <c r="A35" s="14" t="s">
        <v>14</v>
      </c>
      <c r="B35" s="16" t="s">
        <v>66</v>
      </c>
      <c r="C35" s="16" t="s">
        <v>195</v>
      </c>
      <c r="D35" s="15" t="s">
        <v>196</v>
      </c>
      <c r="E35" s="15" t="s">
        <v>197</v>
      </c>
      <c r="F35" s="15" t="s">
        <v>198</v>
      </c>
      <c r="G35" s="15" t="s">
        <v>199</v>
      </c>
      <c r="H35" s="15" t="s">
        <v>200</v>
      </c>
      <c r="I35" s="17" t="s">
        <v>201</v>
      </c>
      <c r="J35" s="17" t="s">
        <v>202</v>
      </c>
      <c r="K35" s="17" t="s">
        <v>203</v>
      </c>
      <c r="L35" s="17" t="s">
        <v>204</v>
      </c>
      <c r="M35" s="17" t="s">
        <v>205</v>
      </c>
      <c r="N35" s="15" t="s">
        <v>206</v>
      </c>
      <c r="O35" s="15" t="s">
        <v>207</v>
      </c>
      <c r="P35" s="17" t="s">
        <v>208</v>
      </c>
      <c r="Q35" s="17" t="s">
        <v>209</v>
      </c>
      <c r="R35" s="17" t="s">
        <v>210</v>
      </c>
      <c r="S35" s="17" t="s">
        <v>211</v>
      </c>
      <c r="T35" s="17" t="s">
        <v>212</v>
      </c>
      <c r="U35" s="17" t="s">
        <v>213</v>
      </c>
      <c r="V35" s="17" t="s">
        <v>214</v>
      </c>
      <c r="W35" s="17" t="s">
        <v>215</v>
      </c>
      <c r="X35" s="17" t="s">
        <v>216</v>
      </c>
      <c r="Y35" s="17" t="s">
        <v>217</v>
      </c>
    </row>
    <row r="36" spans="1:25 16374:16384" s="22" customFormat="1" ht="345" x14ac:dyDescent="0.25">
      <c r="A36" s="17" t="s">
        <v>23</v>
      </c>
      <c r="B36" s="19" t="s">
        <v>162</v>
      </c>
      <c r="C36" s="19" t="s">
        <v>218</v>
      </c>
      <c r="D36" s="19" t="s">
        <v>219</v>
      </c>
      <c r="E36" s="19" t="s">
        <v>220</v>
      </c>
      <c r="F36" s="19" t="s">
        <v>221</v>
      </c>
      <c r="G36" s="19" t="s">
        <v>222</v>
      </c>
      <c r="H36" s="19" t="s">
        <v>223</v>
      </c>
      <c r="I36" s="19" t="s">
        <v>224</v>
      </c>
      <c r="J36" s="19" t="s">
        <v>225</v>
      </c>
      <c r="K36" s="19" t="s">
        <v>226</v>
      </c>
      <c r="L36" s="19" t="s">
        <v>227</v>
      </c>
      <c r="M36" s="19" t="s">
        <v>228</v>
      </c>
      <c r="N36" s="25" t="s">
        <v>229</v>
      </c>
      <c r="O36" s="25" t="s">
        <v>230</v>
      </c>
      <c r="P36" s="25" t="s">
        <v>231</v>
      </c>
      <c r="Q36" s="25" t="s">
        <v>232</v>
      </c>
      <c r="R36" s="25" t="s">
        <v>233</v>
      </c>
      <c r="S36" s="25" t="s">
        <v>234</v>
      </c>
      <c r="T36" s="25" t="s">
        <v>235</v>
      </c>
      <c r="U36" s="28" t="s">
        <v>236</v>
      </c>
      <c r="V36" s="28" t="s">
        <v>237</v>
      </c>
      <c r="W36" s="28" t="s">
        <v>238</v>
      </c>
      <c r="X36" s="28" t="s">
        <v>239</v>
      </c>
      <c r="Y36" s="28" t="s">
        <v>240</v>
      </c>
      <c r="XET36"/>
      <c r="XEU36"/>
      <c r="XEV36"/>
      <c r="XEW36"/>
      <c r="XEX36"/>
      <c r="XEY36"/>
      <c r="XEZ36"/>
      <c r="XFA36"/>
      <c r="XFB36"/>
      <c r="XFC36"/>
      <c r="XFD36"/>
    </row>
    <row r="37" spans="1:25 16374:16384" s="22" customFormat="1" ht="120" x14ac:dyDescent="0.25">
      <c r="A37" s="17" t="s">
        <v>32</v>
      </c>
      <c r="B37" s="19" t="s">
        <v>145</v>
      </c>
      <c r="C37" s="19" t="s">
        <v>241</v>
      </c>
      <c r="D37" s="19" t="s">
        <v>242</v>
      </c>
      <c r="E37" s="23" t="s">
        <v>243</v>
      </c>
      <c r="F37" s="23" t="s">
        <v>244</v>
      </c>
      <c r="G37" s="19" t="s">
        <v>245</v>
      </c>
      <c r="H37" s="19" t="s">
        <v>246</v>
      </c>
      <c r="I37" s="19">
        <v>39.067</v>
      </c>
      <c r="J37" s="19">
        <v>-8.73</v>
      </c>
      <c r="K37" s="19" t="s">
        <v>247</v>
      </c>
      <c r="L37" s="19" t="s">
        <v>248</v>
      </c>
      <c r="M37" s="19" t="s">
        <v>249</v>
      </c>
      <c r="N37" s="25" t="s">
        <v>250</v>
      </c>
      <c r="O37" s="25" t="s">
        <v>251</v>
      </c>
      <c r="P37" s="25" t="s">
        <v>252</v>
      </c>
      <c r="Q37" s="25" t="s">
        <v>253</v>
      </c>
      <c r="R37" s="25" t="s">
        <v>254</v>
      </c>
      <c r="S37" s="25" t="s">
        <v>255</v>
      </c>
      <c r="T37" s="25" t="s">
        <v>256</v>
      </c>
      <c r="U37" s="28">
        <v>39.067</v>
      </c>
      <c r="V37" s="28">
        <v>-8.73</v>
      </c>
      <c r="W37" s="28" t="s">
        <v>247</v>
      </c>
      <c r="X37" s="28" t="s">
        <v>248</v>
      </c>
      <c r="Y37" s="28" t="s">
        <v>257</v>
      </c>
      <c r="XET37"/>
      <c r="XEU37"/>
      <c r="XEV37"/>
      <c r="XEW37"/>
      <c r="XEX37"/>
      <c r="XEY37"/>
      <c r="XEZ37"/>
      <c r="XFA37"/>
      <c r="XFB37"/>
      <c r="XFC37"/>
      <c r="XFD37"/>
    </row>
    <row r="38" spans="1:25 16374:16384" s="22" customFormat="1" ht="45" x14ac:dyDescent="0.25">
      <c r="A38" s="17" t="s">
        <v>38</v>
      </c>
      <c r="B38" s="19" t="s">
        <v>151</v>
      </c>
      <c r="C38" s="19" t="s">
        <v>39</v>
      </c>
      <c r="D38" s="19" t="s">
        <v>258</v>
      </c>
      <c r="E38" s="19" t="s">
        <v>39</v>
      </c>
      <c r="F38" s="19" t="s">
        <v>259</v>
      </c>
      <c r="G38" s="19" t="s">
        <v>260</v>
      </c>
      <c r="H38" s="19" t="s">
        <v>261</v>
      </c>
      <c r="I38" s="19" t="s">
        <v>121</v>
      </c>
      <c r="J38" s="19" t="s">
        <v>121</v>
      </c>
      <c r="K38" s="19" t="s">
        <v>122</v>
      </c>
      <c r="L38" s="19" t="s">
        <v>262</v>
      </c>
      <c r="M38" s="19" t="s">
        <v>263</v>
      </c>
      <c r="N38" s="25" t="s">
        <v>39</v>
      </c>
      <c r="O38" s="25" t="s">
        <v>44</v>
      </c>
      <c r="P38" s="25" t="s">
        <v>39</v>
      </c>
      <c r="Q38" s="25" t="s">
        <v>40</v>
      </c>
      <c r="R38" s="25" t="s">
        <v>39</v>
      </c>
      <c r="S38" s="25" t="s">
        <v>264</v>
      </c>
      <c r="T38" s="25" t="s">
        <v>265</v>
      </c>
      <c r="U38" s="28" t="s">
        <v>121</v>
      </c>
      <c r="V38" s="28" t="s">
        <v>121</v>
      </c>
      <c r="W38" s="28" t="s">
        <v>122</v>
      </c>
      <c r="X38" s="28" t="s">
        <v>122</v>
      </c>
      <c r="Y38" s="28" t="s">
        <v>41</v>
      </c>
      <c r="XET38"/>
      <c r="XEU38"/>
      <c r="XEV38"/>
      <c r="XEW38"/>
      <c r="XEX38"/>
      <c r="XEY38"/>
      <c r="XEZ38"/>
      <c r="XFA38"/>
      <c r="XFB38"/>
      <c r="XFC38"/>
      <c r="XFD38"/>
    </row>
    <row r="39" spans="1:25 16374:16384" ht="56.65" customHeight="1" x14ac:dyDescent="0.3">
      <c r="A39" s="29" t="s">
        <v>266</v>
      </c>
      <c r="B39" s="12"/>
      <c r="C39" s="12"/>
      <c r="D39" s="12"/>
      <c r="E39" s="12"/>
      <c r="F39" s="12"/>
      <c r="G39" s="12"/>
      <c r="H39" s="12"/>
      <c r="I39" s="12"/>
      <c r="J39" s="12"/>
      <c r="K39" s="12"/>
      <c r="L39" s="12"/>
      <c r="M39" s="7"/>
      <c r="N39" s="7"/>
      <c r="O39" s="7"/>
      <c r="P39" s="7"/>
      <c r="Q39" s="7"/>
      <c r="R39" s="7"/>
      <c r="S39" s="7"/>
      <c r="T39" s="7"/>
    </row>
    <row r="40" spans="1:25 16374:16384" ht="51" x14ac:dyDescent="0.25">
      <c r="A40" s="13" t="s">
        <v>267</v>
      </c>
      <c r="B40" s="12"/>
      <c r="C40" s="12"/>
      <c r="D40" s="12"/>
      <c r="E40" s="12"/>
      <c r="F40" s="12"/>
      <c r="G40" s="12"/>
      <c r="H40" s="12"/>
      <c r="I40" s="12"/>
      <c r="J40" s="12"/>
      <c r="K40" s="12"/>
      <c r="L40" s="12"/>
      <c r="M40" s="7"/>
      <c r="N40" s="7"/>
      <c r="O40" s="7"/>
      <c r="P40" s="7"/>
      <c r="Q40" s="7"/>
      <c r="R40" s="7"/>
      <c r="S40" s="7"/>
      <c r="T40" s="7"/>
    </row>
    <row r="41" spans="1:25 16374:16384" ht="28.35" customHeight="1" x14ac:dyDescent="0.25">
      <c r="A41" s="14" t="s">
        <v>5</v>
      </c>
      <c r="B41" s="16" t="s">
        <v>47</v>
      </c>
      <c r="C41" s="16" t="s">
        <v>268</v>
      </c>
      <c r="D41" s="16" t="s">
        <v>269</v>
      </c>
      <c r="E41" s="30"/>
      <c r="F41" s="7"/>
      <c r="G41" s="7"/>
      <c r="H41" s="7"/>
      <c r="I41" s="7"/>
      <c r="J41" s="7"/>
      <c r="K41" s="7"/>
      <c r="L41" s="7"/>
      <c r="M41" s="7"/>
      <c r="N41" s="7"/>
      <c r="O41" s="7"/>
      <c r="P41" s="7"/>
      <c r="Q41" s="7"/>
      <c r="R41" s="7"/>
      <c r="S41" s="7"/>
      <c r="T41" s="7"/>
    </row>
    <row r="42" spans="1:25 16374:16384" ht="28.35" customHeight="1" x14ac:dyDescent="0.25">
      <c r="A42" s="14" t="s">
        <v>14</v>
      </c>
      <c r="B42" s="16" t="s">
        <v>66</v>
      </c>
      <c r="C42" s="16" t="s">
        <v>270</v>
      </c>
      <c r="D42" s="16" t="s">
        <v>271</v>
      </c>
      <c r="E42" s="30"/>
      <c r="F42" s="7"/>
      <c r="G42" s="7"/>
      <c r="H42" s="7"/>
      <c r="I42" s="7"/>
      <c r="J42" s="7"/>
      <c r="K42" s="7"/>
      <c r="L42" s="7"/>
      <c r="M42" s="7"/>
      <c r="N42" s="7"/>
      <c r="O42" s="7"/>
      <c r="P42" s="7"/>
      <c r="Q42" s="7"/>
      <c r="R42" s="7"/>
      <c r="S42" s="7"/>
      <c r="T42" s="7"/>
    </row>
    <row r="43" spans="1:25 16374:16384" s="22" customFormat="1" ht="51" x14ac:dyDescent="0.25">
      <c r="A43" s="17" t="s">
        <v>23</v>
      </c>
      <c r="B43" s="19" t="s">
        <v>162</v>
      </c>
      <c r="C43" s="19" t="s">
        <v>272</v>
      </c>
      <c r="D43" s="19" t="s">
        <v>273</v>
      </c>
      <c r="E43" s="20"/>
      <c r="F43" s="20"/>
      <c r="G43" s="20"/>
      <c r="H43" s="20"/>
      <c r="I43" s="20"/>
      <c r="J43" s="20"/>
      <c r="K43" s="20"/>
      <c r="L43" s="20"/>
      <c r="M43" s="20"/>
      <c r="N43" s="21"/>
      <c r="O43" s="21"/>
      <c r="P43" s="21"/>
      <c r="Q43" s="21"/>
      <c r="R43" s="21"/>
      <c r="S43" s="21"/>
      <c r="T43" s="21"/>
      <c r="XET43"/>
      <c r="XEU43"/>
      <c r="XEV43"/>
      <c r="XEW43"/>
      <c r="XEX43"/>
      <c r="XEY43"/>
      <c r="XEZ43"/>
      <c r="XFA43"/>
      <c r="XFB43"/>
      <c r="XFC43"/>
      <c r="XFD43"/>
    </row>
    <row r="44" spans="1:25 16374:16384" s="22" customFormat="1" ht="25.5" x14ac:dyDescent="0.25">
      <c r="A44" s="17" t="s">
        <v>32</v>
      </c>
      <c r="B44" s="19" t="s">
        <v>145</v>
      </c>
      <c r="C44" s="19" t="s">
        <v>274</v>
      </c>
      <c r="D44" s="19" t="s">
        <v>275</v>
      </c>
      <c r="E44" s="27"/>
      <c r="F44" s="27"/>
      <c r="G44" s="20"/>
      <c r="H44" s="20"/>
      <c r="I44" s="20"/>
      <c r="J44" s="20"/>
      <c r="K44" s="20"/>
      <c r="L44" s="20"/>
      <c r="M44" s="20"/>
      <c r="N44" s="21"/>
      <c r="O44" s="21"/>
      <c r="P44" s="21"/>
      <c r="Q44" s="21"/>
      <c r="R44" s="21"/>
      <c r="S44" s="21"/>
      <c r="T44" s="21"/>
      <c r="XET44"/>
      <c r="XEU44"/>
      <c r="XEV44"/>
      <c r="XEW44"/>
      <c r="XEX44"/>
      <c r="XEY44"/>
      <c r="XEZ44"/>
      <c r="XFA44"/>
      <c r="XFB44"/>
      <c r="XFC44"/>
      <c r="XFD44"/>
    </row>
    <row r="45" spans="1:25 16374:16384" s="22" customFormat="1" x14ac:dyDescent="0.25">
      <c r="A45" s="17" t="s">
        <v>38</v>
      </c>
      <c r="B45" s="19" t="s">
        <v>151</v>
      </c>
      <c r="C45" s="19" t="s">
        <v>276</v>
      </c>
      <c r="D45" s="19" t="s">
        <v>41</v>
      </c>
      <c r="E45" s="20"/>
      <c r="F45" s="20"/>
      <c r="G45" s="20"/>
      <c r="H45" s="20"/>
      <c r="I45" s="20"/>
      <c r="J45" s="20"/>
      <c r="K45" s="20"/>
      <c r="L45" s="20"/>
      <c r="M45" s="20"/>
      <c r="N45" s="21"/>
      <c r="O45" s="21"/>
      <c r="P45" s="21"/>
      <c r="Q45" s="21"/>
      <c r="R45" s="21"/>
      <c r="S45" s="21"/>
      <c r="T45" s="21"/>
      <c r="XET45"/>
      <c r="XEU45"/>
      <c r="XEV45"/>
      <c r="XEW45"/>
      <c r="XEX45"/>
      <c r="XEY45"/>
      <c r="XEZ45"/>
      <c r="XFA45"/>
      <c r="XFB45"/>
      <c r="XFC45"/>
      <c r="XFD45"/>
    </row>
    <row r="46" spans="1:25 16374:16384" ht="56.65" customHeight="1" x14ac:dyDescent="0.3">
      <c r="A46" s="29" t="s">
        <v>277</v>
      </c>
      <c r="B46" s="12"/>
      <c r="C46" s="12"/>
      <c r="D46" s="12"/>
      <c r="E46" s="12"/>
      <c r="F46" s="12"/>
      <c r="G46" s="12"/>
      <c r="H46" s="12"/>
      <c r="I46" s="12"/>
      <c r="J46" s="12"/>
      <c r="K46" s="12"/>
      <c r="L46" s="12"/>
      <c r="M46" s="7"/>
      <c r="N46" s="7"/>
      <c r="O46" s="7"/>
      <c r="P46" s="7"/>
      <c r="Q46" s="7"/>
      <c r="R46" s="7"/>
      <c r="S46" s="7"/>
      <c r="T46" s="7"/>
    </row>
    <row r="47" spans="1:25 16374:16384" ht="89.25" x14ac:dyDescent="0.25">
      <c r="A47" s="13" t="s">
        <v>278</v>
      </c>
      <c r="B47" s="12"/>
      <c r="C47" s="12"/>
      <c r="D47" s="12"/>
      <c r="E47" s="12"/>
      <c r="F47" s="12"/>
      <c r="G47" s="12"/>
      <c r="H47" s="12"/>
      <c r="I47" s="12"/>
      <c r="J47" s="12"/>
      <c r="K47" s="12"/>
      <c r="L47" s="12"/>
      <c r="M47" s="7"/>
      <c r="N47" s="7"/>
      <c r="O47" s="7"/>
      <c r="P47" s="7"/>
      <c r="Q47" s="7"/>
      <c r="R47" s="7"/>
      <c r="S47" s="7"/>
      <c r="T47" s="7"/>
    </row>
    <row r="48" spans="1:25 16374:16384" ht="28.35" customHeight="1" x14ac:dyDescent="0.25">
      <c r="A48" s="14" t="s">
        <v>5</v>
      </c>
      <c r="B48" s="16" t="s">
        <v>47</v>
      </c>
      <c r="C48" s="16" t="s">
        <v>279</v>
      </c>
      <c r="D48" s="15" t="s">
        <v>280</v>
      </c>
      <c r="E48" s="16" t="s">
        <v>281</v>
      </c>
      <c r="F48" s="31"/>
      <c r="G48" s="31"/>
      <c r="H48" s="31"/>
      <c r="I48" s="31"/>
      <c r="J48" s="31"/>
      <c r="K48" s="31"/>
      <c r="L48" s="31"/>
      <c r="M48" s="31"/>
      <c r="N48" s="31"/>
      <c r="O48" s="7"/>
      <c r="P48" s="7"/>
      <c r="Q48" s="7"/>
      <c r="R48" s="7"/>
      <c r="S48" s="7"/>
      <c r="T48" s="7"/>
    </row>
    <row r="49" spans="1:20 16374:16384" ht="28.35" customHeight="1" x14ac:dyDescent="0.25">
      <c r="A49" s="14" t="s">
        <v>14</v>
      </c>
      <c r="B49" s="16" t="s">
        <v>66</v>
      </c>
      <c r="C49" s="16" t="s">
        <v>282</v>
      </c>
      <c r="D49" s="15" t="s">
        <v>283</v>
      </c>
      <c r="E49" s="16" t="s">
        <v>284</v>
      </c>
      <c r="F49" s="31"/>
      <c r="G49" s="31"/>
      <c r="H49" s="31"/>
      <c r="I49" s="31"/>
      <c r="J49" s="31"/>
      <c r="K49" s="31"/>
      <c r="L49" s="31"/>
      <c r="M49" s="31"/>
      <c r="N49" s="31"/>
      <c r="O49" s="7"/>
      <c r="P49" s="7"/>
      <c r="Q49" s="7"/>
      <c r="R49" s="7"/>
      <c r="S49" s="7"/>
      <c r="T49" s="7"/>
    </row>
    <row r="50" spans="1:20 16374:16384" s="22" customFormat="1" ht="63.75" x14ac:dyDescent="0.25">
      <c r="A50" s="17" t="s">
        <v>23</v>
      </c>
      <c r="B50" s="19" t="s">
        <v>162</v>
      </c>
      <c r="C50" s="19" t="s">
        <v>285</v>
      </c>
      <c r="D50" s="19" t="s">
        <v>286</v>
      </c>
      <c r="E50" s="19" t="s">
        <v>287</v>
      </c>
      <c r="F50" s="20"/>
      <c r="G50" s="20"/>
      <c r="H50" s="20"/>
      <c r="I50" s="20"/>
      <c r="J50" s="20"/>
      <c r="K50" s="20"/>
      <c r="L50" s="20"/>
      <c r="M50" s="20"/>
      <c r="N50" s="21"/>
      <c r="O50" s="21"/>
      <c r="P50" s="21"/>
      <c r="Q50" s="21"/>
      <c r="R50" s="21"/>
      <c r="S50" s="21"/>
      <c r="T50" s="21"/>
      <c r="XET50"/>
      <c r="XEU50"/>
      <c r="XEV50"/>
      <c r="XEW50"/>
      <c r="XEX50"/>
      <c r="XEY50"/>
      <c r="XEZ50"/>
      <c r="XFA50"/>
      <c r="XFB50"/>
      <c r="XFC50"/>
      <c r="XFD50"/>
    </row>
    <row r="51" spans="1:20 16374:16384" s="22" customFormat="1" x14ac:dyDescent="0.25">
      <c r="A51" s="17" t="s">
        <v>32</v>
      </c>
      <c r="B51" s="19" t="s">
        <v>145</v>
      </c>
      <c r="C51" s="19" t="s">
        <v>288</v>
      </c>
      <c r="D51" s="19" t="s">
        <v>289</v>
      </c>
      <c r="E51" s="23" t="s">
        <v>290</v>
      </c>
      <c r="F51" s="27"/>
      <c r="G51" s="20"/>
      <c r="H51" s="20"/>
      <c r="I51" s="20"/>
      <c r="J51" s="20"/>
      <c r="K51" s="20"/>
      <c r="L51" s="20"/>
      <c r="M51" s="20"/>
      <c r="N51" s="21"/>
      <c r="O51" s="21"/>
      <c r="P51" s="21"/>
      <c r="Q51" s="21"/>
      <c r="R51" s="21"/>
      <c r="S51" s="21"/>
      <c r="T51" s="21"/>
      <c r="XET51"/>
      <c r="XEU51"/>
      <c r="XEV51"/>
      <c r="XEW51"/>
      <c r="XEX51"/>
      <c r="XEY51"/>
      <c r="XEZ51"/>
      <c r="XFA51"/>
      <c r="XFB51"/>
      <c r="XFC51"/>
      <c r="XFD51"/>
    </row>
    <row r="52" spans="1:20 16374:16384" s="22" customFormat="1" x14ac:dyDescent="0.25">
      <c r="A52" s="17" t="s">
        <v>38</v>
      </c>
      <c r="B52" s="19" t="s">
        <v>151</v>
      </c>
      <c r="C52" s="19" t="s">
        <v>291</v>
      </c>
      <c r="D52" s="19" t="s">
        <v>41</v>
      </c>
      <c r="E52" s="19" t="s">
        <v>41</v>
      </c>
      <c r="F52" s="20"/>
      <c r="G52" s="20"/>
      <c r="H52" s="20"/>
      <c r="I52" s="20"/>
      <c r="J52" s="20"/>
      <c r="K52" s="20"/>
      <c r="L52" s="20"/>
      <c r="M52" s="20"/>
      <c r="N52" s="21"/>
      <c r="O52" s="21"/>
      <c r="P52" s="21"/>
      <c r="Q52" s="21"/>
      <c r="R52" s="21"/>
      <c r="S52" s="21"/>
      <c r="T52" s="21"/>
      <c r="XET52"/>
      <c r="XEU52"/>
      <c r="XEV52"/>
      <c r="XEW52"/>
      <c r="XEX52"/>
      <c r="XEY52"/>
      <c r="XEZ52"/>
      <c r="XFA52"/>
      <c r="XFB52"/>
      <c r="XFC52"/>
      <c r="XFD52"/>
    </row>
    <row r="53" spans="1:20 16374:16384" ht="56.65" customHeight="1" x14ac:dyDescent="0.3">
      <c r="A53" s="29" t="s">
        <v>292</v>
      </c>
      <c r="B53" s="12"/>
      <c r="C53" s="12"/>
      <c r="D53" s="12"/>
      <c r="E53" s="12"/>
      <c r="F53" s="12"/>
      <c r="G53" s="12"/>
      <c r="H53" s="12"/>
      <c r="I53" s="12"/>
      <c r="J53" s="12"/>
      <c r="K53" s="12"/>
      <c r="L53" s="12"/>
      <c r="M53" s="7"/>
      <c r="N53" s="7"/>
      <c r="O53" s="7"/>
      <c r="P53" s="7"/>
      <c r="Q53" s="7"/>
      <c r="R53" s="7"/>
      <c r="S53" s="7"/>
      <c r="T53" s="7"/>
    </row>
    <row r="54" spans="1:20 16374:16384" ht="63.75" x14ac:dyDescent="0.25">
      <c r="A54" s="13" t="s">
        <v>293</v>
      </c>
      <c r="B54" s="12"/>
      <c r="C54" s="12"/>
      <c r="D54" s="12"/>
      <c r="E54" s="12"/>
      <c r="F54" s="12"/>
      <c r="G54" s="12"/>
      <c r="H54" s="12"/>
      <c r="I54" s="12"/>
      <c r="J54" s="12"/>
      <c r="K54" s="12"/>
      <c r="L54" s="12"/>
      <c r="M54" s="7"/>
      <c r="N54" s="7"/>
      <c r="O54" s="7"/>
      <c r="P54" s="7"/>
      <c r="Q54" s="7"/>
      <c r="R54" s="7"/>
      <c r="S54" s="7"/>
      <c r="T54" s="7"/>
    </row>
    <row r="55" spans="1:20 16374:16384" ht="28.35" customHeight="1" x14ac:dyDescent="0.25">
      <c r="A55" s="14" t="s">
        <v>5</v>
      </c>
      <c r="B55" s="16" t="s">
        <v>47</v>
      </c>
      <c r="C55" s="15" t="s">
        <v>294</v>
      </c>
      <c r="D55" s="16" t="s">
        <v>295</v>
      </c>
      <c r="E55" s="17" t="s">
        <v>296</v>
      </c>
      <c r="F55" s="15" t="s">
        <v>297</v>
      </c>
      <c r="G55" s="16" t="s">
        <v>298</v>
      </c>
      <c r="H55" s="32"/>
      <c r="I55" s="32"/>
      <c r="J55" s="32"/>
      <c r="K55" s="32"/>
      <c r="L55" s="32"/>
      <c r="M55" s="32"/>
      <c r="N55" s="32"/>
      <c r="O55" s="7"/>
      <c r="P55" s="7"/>
      <c r="Q55" s="7"/>
      <c r="R55" s="7"/>
      <c r="S55" s="7"/>
      <c r="T55" s="7"/>
    </row>
    <row r="56" spans="1:20 16374:16384" ht="28.35" customHeight="1" x14ac:dyDescent="0.25">
      <c r="A56" s="14" t="s">
        <v>14</v>
      </c>
      <c r="B56" s="16" t="s">
        <v>66</v>
      </c>
      <c r="C56" s="15" t="s">
        <v>299</v>
      </c>
      <c r="D56" s="16" t="s">
        <v>300</v>
      </c>
      <c r="E56" s="17" t="s">
        <v>301</v>
      </c>
      <c r="F56" s="15" t="s">
        <v>302</v>
      </c>
      <c r="G56" s="16" t="s">
        <v>303</v>
      </c>
      <c r="H56" s="32"/>
      <c r="I56" s="32"/>
      <c r="J56" s="32"/>
      <c r="K56" s="32"/>
      <c r="L56" s="32"/>
      <c r="M56" s="32"/>
      <c r="N56" s="32"/>
      <c r="O56" s="7"/>
      <c r="P56" s="7"/>
      <c r="Q56" s="7"/>
      <c r="R56" s="7"/>
      <c r="S56" s="7"/>
      <c r="T56" s="7"/>
    </row>
    <row r="57" spans="1:20 16374:16384" s="22" customFormat="1" ht="76.5" x14ac:dyDescent="0.25">
      <c r="A57" s="17" t="s">
        <v>23</v>
      </c>
      <c r="B57" s="19" t="s">
        <v>162</v>
      </c>
      <c r="C57" s="19" t="s">
        <v>304</v>
      </c>
      <c r="D57" s="19" t="s">
        <v>305</v>
      </c>
      <c r="E57" s="19" t="s">
        <v>306</v>
      </c>
      <c r="F57" s="19" t="s">
        <v>307</v>
      </c>
      <c r="G57" s="19" t="s">
        <v>308</v>
      </c>
      <c r="H57" s="20"/>
      <c r="I57" s="20"/>
      <c r="J57" s="20"/>
      <c r="K57" s="20"/>
      <c r="L57" s="20"/>
      <c r="M57" s="20"/>
      <c r="N57" s="21"/>
      <c r="O57" s="21"/>
      <c r="P57" s="21"/>
      <c r="Q57" s="21"/>
      <c r="R57" s="21"/>
      <c r="S57" s="21"/>
      <c r="T57" s="21"/>
      <c r="XET57"/>
      <c r="XEU57"/>
      <c r="XEV57"/>
      <c r="XEW57"/>
      <c r="XEX57"/>
      <c r="XEY57"/>
      <c r="XEZ57"/>
      <c r="XFA57"/>
      <c r="XFB57"/>
      <c r="XFC57"/>
      <c r="XFD57"/>
    </row>
    <row r="58" spans="1:20 16374:16384" s="22" customFormat="1" ht="45" x14ac:dyDescent="0.25">
      <c r="A58" s="17" t="s">
        <v>32</v>
      </c>
      <c r="B58" s="19" t="s">
        <v>145</v>
      </c>
      <c r="C58" s="19" t="s">
        <v>309</v>
      </c>
      <c r="D58" s="19" t="s">
        <v>310</v>
      </c>
      <c r="E58" s="23" t="s">
        <v>311</v>
      </c>
      <c r="F58" s="23" t="s">
        <v>312</v>
      </c>
      <c r="G58" s="19" t="s">
        <v>313</v>
      </c>
      <c r="H58" s="20"/>
      <c r="I58" s="20"/>
      <c r="J58" s="20"/>
      <c r="K58" s="20"/>
      <c r="L58" s="20"/>
      <c r="M58" s="20"/>
      <c r="N58" s="21"/>
      <c r="O58" s="21"/>
      <c r="P58" s="21"/>
      <c r="Q58" s="21"/>
      <c r="R58" s="21"/>
      <c r="S58" s="21"/>
      <c r="T58" s="21"/>
      <c r="XET58"/>
      <c r="XEU58"/>
      <c r="XEV58"/>
      <c r="XEW58"/>
      <c r="XEX58"/>
      <c r="XEY58"/>
      <c r="XEZ58"/>
      <c r="XFA58"/>
      <c r="XFB58"/>
      <c r="XFC58"/>
      <c r="XFD58"/>
    </row>
    <row r="59" spans="1:20 16374:16384" s="22" customFormat="1" ht="51" x14ac:dyDescent="0.25">
      <c r="A59" s="17" t="s">
        <v>38</v>
      </c>
      <c r="B59" s="19" t="s">
        <v>151</v>
      </c>
      <c r="C59" s="19" t="s">
        <v>314</v>
      </c>
      <c r="D59" s="19" t="s">
        <v>40</v>
      </c>
      <c r="E59" s="19" t="s">
        <v>315</v>
      </c>
      <c r="F59" s="19" t="s">
        <v>41</v>
      </c>
      <c r="G59" s="19" t="s">
        <v>42</v>
      </c>
      <c r="H59" s="20"/>
      <c r="I59" s="20"/>
      <c r="J59" s="20"/>
      <c r="K59" s="20"/>
      <c r="L59" s="20"/>
      <c r="M59" s="20"/>
      <c r="N59" s="21"/>
      <c r="O59" s="21"/>
      <c r="P59" s="21"/>
      <c r="Q59" s="21"/>
      <c r="R59" s="21"/>
      <c r="S59" s="21"/>
      <c r="T59" s="21"/>
      <c r="XET59"/>
      <c r="XEU59"/>
      <c r="XEV59"/>
      <c r="XEW59"/>
      <c r="XEX59"/>
      <c r="XEY59"/>
      <c r="XEZ59"/>
      <c r="XFA59"/>
      <c r="XFB59"/>
      <c r="XFC59"/>
      <c r="XFD59"/>
    </row>
    <row r="60" spans="1:20 16374:16384" ht="56.65" customHeight="1" x14ac:dyDescent="0.3">
      <c r="A60" s="11" t="s">
        <v>316</v>
      </c>
      <c r="B60" s="12"/>
      <c r="C60" s="12"/>
      <c r="D60" s="12"/>
      <c r="E60" s="12"/>
      <c r="F60" s="12"/>
      <c r="G60" s="12"/>
      <c r="H60" s="12"/>
      <c r="I60" s="12"/>
      <c r="J60" s="12"/>
      <c r="K60" s="12"/>
      <c r="L60" s="12"/>
      <c r="M60" s="7"/>
      <c r="N60" s="7"/>
      <c r="O60" s="7"/>
      <c r="P60" s="7"/>
      <c r="Q60" s="7"/>
      <c r="R60" s="7"/>
      <c r="S60" s="7"/>
      <c r="T60" s="7"/>
    </row>
    <row r="61" spans="1:20 16374:16384" ht="63.75" x14ac:dyDescent="0.25">
      <c r="A61" s="13" t="s">
        <v>317</v>
      </c>
      <c r="B61" s="12"/>
      <c r="C61" s="12"/>
      <c r="D61" s="12"/>
      <c r="E61" s="12"/>
      <c r="F61" s="12"/>
      <c r="G61" s="12"/>
      <c r="H61" s="12"/>
      <c r="I61" s="12"/>
      <c r="J61" s="12"/>
      <c r="K61" s="12"/>
      <c r="L61" s="12"/>
      <c r="M61" s="7"/>
      <c r="N61" s="7"/>
      <c r="O61" s="7"/>
      <c r="P61" s="7"/>
      <c r="Q61" s="7"/>
      <c r="R61" s="7"/>
      <c r="S61" s="7"/>
      <c r="T61" s="7"/>
    </row>
    <row r="62" spans="1:20 16374:16384" ht="28.35" customHeight="1" x14ac:dyDescent="0.25">
      <c r="A62" s="14" t="s">
        <v>5</v>
      </c>
      <c r="B62" s="16" t="s">
        <v>47</v>
      </c>
      <c r="C62" s="16" t="s">
        <v>318</v>
      </c>
      <c r="D62" s="16" t="s">
        <v>294</v>
      </c>
      <c r="E62" s="16" t="s">
        <v>319</v>
      </c>
      <c r="F62" s="17" t="s">
        <v>320</v>
      </c>
      <c r="G62" s="15" t="s">
        <v>321</v>
      </c>
      <c r="H62" s="15" t="s">
        <v>322</v>
      </c>
      <c r="I62" s="32"/>
      <c r="J62" s="32"/>
      <c r="K62" s="32"/>
      <c r="L62" s="32"/>
      <c r="M62" s="32"/>
      <c r="N62" s="32"/>
      <c r="O62" s="7"/>
      <c r="P62" s="7"/>
      <c r="Q62" s="7"/>
      <c r="R62" s="7"/>
      <c r="S62" s="7"/>
      <c r="T62" s="7"/>
    </row>
    <row r="63" spans="1:20 16374:16384" ht="28.35" customHeight="1" x14ac:dyDescent="0.25">
      <c r="A63" s="14" t="s">
        <v>14</v>
      </c>
      <c r="B63" s="16" t="s">
        <v>66</v>
      </c>
      <c r="C63" s="16" t="s">
        <v>195</v>
      </c>
      <c r="D63" s="16" t="s">
        <v>299</v>
      </c>
      <c r="E63" s="16" t="s">
        <v>323</v>
      </c>
      <c r="F63" s="17" t="s">
        <v>324</v>
      </c>
      <c r="G63" s="15" t="s">
        <v>325</v>
      </c>
      <c r="H63" s="15" t="s">
        <v>326</v>
      </c>
      <c r="I63" s="32"/>
      <c r="J63" s="32"/>
      <c r="K63" s="32"/>
      <c r="L63" s="32"/>
      <c r="M63" s="32"/>
      <c r="N63" s="32"/>
      <c r="O63" s="7"/>
      <c r="P63" s="7"/>
      <c r="Q63" s="7"/>
      <c r="R63" s="7"/>
      <c r="S63" s="7"/>
      <c r="T63" s="7"/>
    </row>
    <row r="64" spans="1:20 16374:16384" s="22" customFormat="1" ht="178.5" x14ac:dyDescent="0.25">
      <c r="A64" s="17" t="s">
        <v>23</v>
      </c>
      <c r="B64" s="19" t="s">
        <v>327</v>
      </c>
      <c r="C64" s="19" t="s">
        <v>328</v>
      </c>
      <c r="D64" s="19" t="s">
        <v>329</v>
      </c>
      <c r="E64" s="19" t="s">
        <v>330</v>
      </c>
      <c r="F64" s="19" t="s">
        <v>331</v>
      </c>
      <c r="G64" s="19" t="s">
        <v>332</v>
      </c>
      <c r="H64" s="19" t="s">
        <v>333</v>
      </c>
      <c r="I64" s="20"/>
      <c r="J64" s="20"/>
      <c r="K64" s="20"/>
      <c r="L64" s="20"/>
      <c r="M64" s="20"/>
      <c r="N64" s="21"/>
      <c r="O64" s="21"/>
      <c r="P64" s="21"/>
      <c r="Q64" s="21"/>
      <c r="R64" s="21"/>
      <c r="S64" s="21"/>
      <c r="T64" s="21"/>
      <c r="XET64"/>
      <c r="XEU64"/>
      <c r="XEV64"/>
      <c r="XEW64"/>
      <c r="XEX64"/>
      <c r="XEY64"/>
      <c r="XEZ64"/>
      <c r="XFA64"/>
      <c r="XFB64"/>
      <c r="XFC64"/>
      <c r="XFD64"/>
    </row>
    <row r="65" spans="1:20 16374:16384" s="22" customFormat="1" ht="25.5" x14ac:dyDescent="0.25">
      <c r="A65" s="17" t="s">
        <v>32</v>
      </c>
      <c r="B65" s="19" t="s">
        <v>334</v>
      </c>
      <c r="C65" s="19" t="s">
        <v>335</v>
      </c>
      <c r="D65" s="19" t="s">
        <v>309</v>
      </c>
      <c r="E65" s="23" t="s">
        <v>336</v>
      </c>
      <c r="F65" s="23" t="s">
        <v>337</v>
      </c>
      <c r="G65" s="19" t="s">
        <v>338</v>
      </c>
      <c r="H65" s="19" t="s">
        <v>339</v>
      </c>
      <c r="I65" s="20"/>
      <c r="J65" s="20"/>
      <c r="K65" s="20"/>
      <c r="L65" s="20"/>
      <c r="M65" s="20"/>
      <c r="N65" s="21"/>
      <c r="O65" s="21"/>
      <c r="P65" s="21"/>
      <c r="Q65" s="21"/>
      <c r="R65" s="21"/>
      <c r="S65" s="21"/>
      <c r="T65" s="21"/>
      <c r="XET65"/>
      <c r="XEU65"/>
      <c r="XEV65"/>
      <c r="XEW65"/>
      <c r="XEX65"/>
      <c r="XEY65"/>
      <c r="XEZ65"/>
      <c r="XFA65"/>
      <c r="XFB65"/>
      <c r="XFC65"/>
      <c r="XFD65"/>
    </row>
    <row r="66" spans="1:20 16374:16384" s="22" customFormat="1" x14ac:dyDescent="0.25">
      <c r="A66" s="17" t="s">
        <v>38</v>
      </c>
      <c r="B66" s="19" t="s">
        <v>39</v>
      </c>
      <c r="C66" s="19" t="s">
        <v>39</v>
      </c>
      <c r="D66" s="19" t="s">
        <v>39</v>
      </c>
      <c r="E66" s="19" t="s">
        <v>41</v>
      </c>
      <c r="F66" s="19" t="s">
        <v>39</v>
      </c>
      <c r="G66" s="19" t="s">
        <v>340</v>
      </c>
      <c r="H66" s="19" t="s">
        <v>41</v>
      </c>
      <c r="I66" s="20"/>
      <c r="J66" s="20"/>
      <c r="K66" s="20"/>
      <c r="L66" s="20"/>
      <c r="M66" s="20"/>
      <c r="N66" s="21"/>
      <c r="O66" s="21"/>
      <c r="P66" s="21"/>
      <c r="Q66" s="21"/>
      <c r="R66" s="21"/>
      <c r="S66" s="21"/>
      <c r="T66" s="21"/>
      <c r="XET66"/>
      <c r="XEU66"/>
      <c r="XEV66"/>
      <c r="XEW66"/>
      <c r="XEX66"/>
      <c r="XEY66"/>
      <c r="XEZ66"/>
      <c r="XFA66"/>
      <c r="XFB66"/>
      <c r="XFC66"/>
      <c r="XFD66"/>
    </row>
    <row r="67" spans="1:20 16374:16384" ht="56.65" customHeight="1" x14ac:dyDescent="0.3">
      <c r="A67" s="29" t="s">
        <v>341</v>
      </c>
      <c r="B67" s="12"/>
      <c r="C67" s="12"/>
      <c r="D67" s="12"/>
      <c r="E67" s="12"/>
      <c r="F67" s="12"/>
      <c r="G67" s="12"/>
      <c r="H67" s="12"/>
      <c r="I67" s="12"/>
      <c r="J67" s="12"/>
      <c r="K67" s="12"/>
      <c r="L67" s="12"/>
      <c r="M67" s="7"/>
      <c r="N67" s="7"/>
      <c r="O67" s="7"/>
      <c r="P67" s="7"/>
      <c r="Q67" s="7"/>
      <c r="R67" s="7"/>
      <c r="S67" s="7"/>
      <c r="T67" s="7"/>
    </row>
    <row r="68" spans="1:20 16374:16384" ht="102" x14ac:dyDescent="0.25">
      <c r="A68" s="13" t="s">
        <v>342</v>
      </c>
      <c r="B68" s="12"/>
      <c r="C68" s="12"/>
      <c r="D68" s="12"/>
      <c r="E68" s="12"/>
      <c r="F68" s="12"/>
      <c r="G68" s="12"/>
      <c r="H68" s="12"/>
      <c r="I68" s="12"/>
      <c r="J68" s="12"/>
      <c r="K68" s="12"/>
      <c r="L68" s="12"/>
      <c r="M68" s="7"/>
      <c r="N68" s="7"/>
      <c r="O68" s="7"/>
      <c r="P68" s="7"/>
      <c r="Q68" s="7"/>
      <c r="R68" s="7"/>
      <c r="S68" s="7"/>
      <c r="T68" s="7"/>
    </row>
    <row r="69" spans="1:20 16374:16384" ht="28.35" customHeight="1" x14ac:dyDescent="0.25">
      <c r="A69" s="14" t="s">
        <v>5</v>
      </c>
      <c r="B69" s="16" t="s">
        <v>294</v>
      </c>
      <c r="C69" s="16" t="s">
        <v>343</v>
      </c>
      <c r="D69" s="15" t="s">
        <v>344</v>
      </c>
      <c r="E69" s="16" t="s">
        <v>345</v>
      </c>
      <c r="F69" s="15" t="s">
        <v>346</v>
      </c>
      <c r="G69" s="16" t="s">
        <v>347</v>
      </c>
      <c r="H69" s="15" t="s">
        <v>348</v>
      </c>
      <c r="I69" s="33"/>
      <c r="J69" s="33"/>
      <c r="K69" s="33"/>
      <c r="L69" s="33"/>
      <c r="M69" s="33"/>
      <c r="N69" s="33"/>
      <c r="O69" s="7"/>
      <c r="P69" s="7"/>
      <c r="Q69" s="7"/>
      <c r="R69" s="7"/>
      <c r="S69" s="7"/>
      <c r="T69" s="7"/>
    </row>
    <row r="70" spans="1:20 16374:16384" ht="28.35" customHeight="1" x14ac:dyDescent="0.25">
      <c r="A70" s="14" t="s">
        <v>14</v>
      </c>
      <c r="B70" s="16" t="s">
        <v>299</v>
      </c>
      <c r="C70" s="16" t="s">
        <v>349</v>
      </c>
      <c r="D70" s="15" t="s">
        <v>350</v>
      </c>
      <c r="E70" s="16" t="s">
        <v>351</v>
      </c>
      <c r="F70" s="15" t="s">
        <v>352</v>
      </c>
      <c r="G70" s="16" t="s">
        <v>353</v>
      </c>
      <c r="H70" s="15" t="s">
        <v>324</v>
      </c>
      <c r="I70" s="33"/>
      <c r="J70" s="33"/>
      <c r="K70" s="33"/>
      <c r="L70" s="33"/>
      <c r="M70" s="33"/>
      <c r="N70" s="33"/>
      <c r="O70" s="7"/>
      <c r="P70" s="7"/>
      <c r="Q70" s="7"/>
      <c r="R70" s="7"/>
      <c r="S70" s="7"/>
      <c r="T70" s="7"/>
    </row>
    <row r="71" spans="1:20 16374:16384" s="22" customFormat="1" ht="89.25" x14ac:dyDescent="0.25">
      <c r="A71" s="17" t="s">
        <v>23</v>
      </c>
      <c r="B71" s="19" t="s">
        <v>354</v>
      </c>
      <c r="C71" s="19" t="s">
        <v>355</v>
      </c>
      <c r="D71" s="19" t="s">
        <v>356</v>
      </c>
      <c r="E71" s="19" t="s">
        <v>357</v>
      </c>
      <c r="F71" s="19" t="s">
        <v>358</v>
      </c>
      <c r="G71" s="19" t="s">
        <v>359</v>
      </c>
      <c r="H71" s="19" t="s">
        <v>360</v>
      </c>
      <c r="I71" s="20"/>
      <c r="J71" s="20"/>
      <c r="K71" s="20"/>
      <c r="L71" s="20"/>
      <c r="M71" s="20"/>
      <c r="N71" s="21"/>
      <c r="O71" s="21"/>
      <c r="P71" s="21"/>
      <c r="Q71" s="21"/>
      <c r="R71" s="21"/>
      <c r="S71" s="21"/>
      <c r="T71" s="21"/>
      <c r="XET71"/>
      <c r="XEU71"/>
      <c r="XEV71"/>
      <c r="XEW71"/>
      <c r="XEX71"/>
      <c r="XEY71"/>
      <c r="XEZ71"/>
      <c r="XFA71"/>
      <c r="XFB71"/>
      <c r="XFC71"/>
      <c r="XFD71"/>
    </row>
    <row r="72" spans="1:20 16374:16384" s="22" customFormat="1" ht="60" x14ac:dyDescent="0.25">
      <c r="A72" s="17" t="s">
        <v>32</v>
      </c>
      <c r="B72" s="19" t="s">
        <v>309</v>
      </c>
      <c r="C72" s="19" t="s">
        <v>361</v>
      </c>
      <c r="D72" s="19" t="s">
        <v>362</v>
      </c>
      <c r="E72" s="23" t="s">
        <v>363</v>
      </c>
      <c r="F72" s="23" t="s">
        <v>364</v>
      </c>
      <c r="G72" s="19" t="s">
        <v>365</v>
      </c>
      <c r="H72" s="19" t="s">
        <v>337</v>
      </c>
      <c r="I72" s="20"/>
      <c r="J72" s="20"/>
      <c r="K72" s="20"/>
      <c r="L72" s="20"/>
      <c r="M72" s="20"/>
      <c r="N72" s="21"/>
      <c r="O72" s="21"/>
      <c r="P72" s="21"/>
      <c r="Q72" s="21"/>
      <c r="R72" s="21"/>
      <c r="S72" s="21"/>
      <c r="T72" s="21"/>
      <c r="XET72"/>
      <c r="XEU72"/>
      <c r="XEV72"/>
      <c r="XEW72"/>
      <c r="XEX72"/>
      <c r="XEY72"/>
      <c r="XEZ72"/>
      <c r="XFA72"/>
      <c r="XFB72"/>
      <c r="XFC72"/>
      <c r="XFD72"/>
    </row>
    <row r="73" spans="1:20 16374:16384" s="22" customFormat="1" ht="25.5" x14ac:dyDescent="0.25">
      <c r="A73" s="17" t="s">
        <v>38</v>
      </c>
      <c r="B73" s="19" t="s">
        <v>366</v>
      </c>
      <c r="C73" s="19" t="s">
        <v>39</v>
      </c>
      <c r="D73" s="19" t="s">
        <v>367</v>
      </c>
      <c r="E73" s="19" t="s">
        <v>368</v>
      </c>
      <c r="F73" s="19" t="s">
        <v>41</v>
      </c>
      <c r="G73" s="19" t="s">
        <v>369</v>
      </c>
      <c r="H73" s="19" t="s">
        <v>39</v>
      </c>
      <c r="I73" s="20"/>
      <c r="J73" s="20"/>
      <c r="K73" s="20"/>
      <c r="L73" s="20"/>
      <c r="M73" s="20"/>
      <c r="N73" s="21"/>
      <c r="O73" s="21"/>
      <c r="P73" s="21"/>
      <c r="Q73" s="21"/>
      <c r="R73" s="21"/>
      <c r="S73" s="21"/>
      <c r="T73" s="21"/>
      <c r="XET73"/>
      <c r="XEU73"/>
      <c r="XEV73"/>
      <c r="XEW73"/>
      <c r="XEX73"/>
      <c r="XEY73"/>
      <c r="XEZ73"/>
      <c r="XFA73"/>
      <c r="XFB73"/>
      <c r="XFC73"/>
      <c r="XFD73"/>
    </row>
    <row r="74" spans="1:20 16374:16384" ht="56.65" customHeight="1" x14ac:dyDescent="0.3">
      <c r="A74" s="11" t="s">
        <v>370</v>
      </c>
      <c r="B74" s="12"/>
      <c r="C74" s="12"/>
      <c r="D74" s="12"/>
      <c r="E74" s="12"/>
      <c r="F74" s="12"/>
      <c r="G74" s="12"/>
      <c r="H74" s="12"/>
      <c r="I74" s="12"/>
      <c r="J74" s="12"/>
      <c r="K74" s="12"/>
      <c r="L74" s="12"/>
      <c r="M74" s="7"/>
      <c r="N74" s="7"/>
      <c r="O74" s="7"/>
      <c r="P74" s="7"/>
      <c r="Q74" s="7"/>
      <c r="R74" s="7"/>
      <c r="S74" s="7"/>
      <c r="T74" s="7"/>
    </row>
    <row r="75" spans="1:20 16374:16384" ht="114.75" x14ac:dyDescent="0.25">
      <c r="A75" s="13" t="s">
        <v>371</v>
      </c>
      <c r="B75" s="12"/>
      <c r="C75" s="12"/>
      <c r="D75" s="12"/>
      <c r="E75" s="12"/>
      <c r="F75" s="12"/>
      <c r="G75" s="12"/>
      <c r="H75" s="12"/>
      <c r="I75" s="12"/>
      <c r="J75" s="12"/>
      <c r="K75" s="12"/>
      <c r="L75" s="12"/>
      <c r="M75" s="7"/>
      <c r="N75" s="7"/>
      <c r="O75" s="7"/>
      <c r="P75" s="7"/>
      <c r="Q75" s="7"/>
      <c r="R75" s="7"/>
      <c r="S75" s="7"/>
      <c r="T75" s="7"/>
    </row>
    <row r="76" spans="1:20 16374:16384" ht="28.35" customHeight="1" x14ac:dyDescent="0.25">
      <c r="A76" s="14" t="s">
        <v>5</v>
      </c>
      <c r="B76" s="16" t="s">
        <v>47</v>
      </c>
      <c r="C76" s="16" t="s">
        <v>372</v>
      </c>
      <c r="D76" s="15" t="s">
        <v>373</v>
      </c>
      <c r="E76" s="17" t="s">
        <v>374</v>
      </c>
      <c r="F76" s="16" t="s">
        <v>375</v>
      </c>
      <c r="G76" s="17" t="s">
        <v>376</v>
      </c>
      <c r="H76" s="17" t="s">
        <v>377</v>
      </c>
      <c r="I76" s="17" t="s">
        <v>378</v>
      </c>
      <c r="J76" s="17" t="s">
        <v>379</v>
      </c>
      <c r="K76" s="17" t="s">
        <v>380</v>
      </c>
      <c r="L76" s="16" t="s">
        <v>381</v>
      </c>
      <c r="M76" s="17" t="s">
        <v>382</v>
      </c>
      <c r="N76" s="15" t="s">
        <v>383</v>
      </c>
      <c r="O76" s="15" t="s">
        <v>384</v>
      </c>
      <c r="P76" s="16" t="s">
        <v>385</v>
      </c>
      <c r="Q76" s="17" t="s">
        <v>386</v>
      </c>
      <c r="R76" s="17" t="s">
        <v>387</v>
      </c>
      <c r="S76" s="7"/>
      <c r="T76" s="7"/>
    </row>
    <row r="77" spans="1:20 16374:16384" ht="28.35" customHeight="1" x14ac:dyDescent="0.25">
      <c r="A77" s="14" t="s">
        <v>14</v>
      </c>
      <c r="B77" s="16" t="s">
        <v>66</v>
      </c>
      <c r="C77" s="16" t="s">
        <v>388</v>
      </c>
      <c r="D77" s="15" t="s">
        <v>389</v>
      </c>
      <c r="E77" s="17" t="s">
        <v>390</v>
      </c>
      <c r="F77" s="16" t="s">
        <v>391</v>
      </c>
      <c r="G77" s="17" t="s">
        <v>392</v>
      </c>
      <c r="H77" s="17" t="s">
        <v>393</v>
      </c>
      <c r="I77" s="17" t="s">
        <v>394</v>
      </c>
      <c r="J77" s="17" t="s">
        <v>395</v>
      </c>
      <c r="K77" s="17" t="s">
        <v>396</v>
      </c>
      <c r="L77" s="16" t="s">
        <v>397</v>
      </c>
      <c r="M77" s="17" t="s">
        <v>398</v>
      </c>
      <c r="N77" s="15" t="s">
        <v>399</v>
      </c>
      <c r="O77" s="15" t="s">
        <v>400</v>
      </c>
      <c r="P77" s="16" t="s">
        <v>401</v>
      </c>
      <c r="Q77" s="17" t="s">
        <v>402</v>
      </c>
      <c r="R77" s="17" t="s">
        <v>403</v>
      </c>
      <c r="S77" s="7"/>
      <c r="T77" s="7"/>
    </row>
    <row r="78" spans="1:20 16374:16384" s="22" customFormat="1" ht="114.75" x14ac:dyDescent="0.25">
      <c r="A78" s="17" t="s">
        <v>23</v>
      </c>
      <c r="B78" s="19" t="s">
        <v>404</v>
      </c>
      <c r="C78" s="19" t="s">
        <v>405</v>
      </c>
      <c r="D78" s="19" t="s">
        <v>406</v>
      </c>
      <c r="E78" s="19" t="s">
        <v>407</v>
      </c>
      <c r="F78" s="19" t="s">
        <v>408</v>
      </c>
      <c r="G78" s="19" t="s">
        <v>409</v>
      </c>
      <c r="H78" s="19" t="s">
        <v>410</v>
      </c>
      <c r="I78" s="19" t="s">
        <v>411</v>
      </c>
      <c r="J78" s="19" t="s">
        <v>412</v>
      </c>
      <c r="K78" s="19" t="s">
        <v>413</v>
      </c>
      <c r="L78" s="19" t="s">
        <v>414</v>
      </c>
      <c r="M78" s="19" t="s">
        <v>415</v>
      </c>
      <c r="N78" s="25" t="s">
        <v>416</v>
      </c>
      <c r="O78" s="25" t="s">
        <v>417</v>
      </c>
      <c r="P78" s="25" t="s">
        <v>418</v>
      </c>
      <c r="Q78" s="25" t="s">
        <v>419</v>
      </c>
      <c r="R78" s="25" t="s">
        <v>420</v>
      </c>
      <c r="S78" s="21"/>
      <c r="T78" s="21"/>
      <c r="XET78"/>
      <c r="XEU78"/>
      <c r="XEV78"/>
      <c r="XEW78"/>
      <c r="XEX78"/>
      <c r="XEY78"/>
      <c r="XEZ78"/>
      <c r="XFA78"/>
      <c r="XFB78"/>
      <c r="XFC78"/>
      <c r="XFD78"/>
    </row>
    <row r="79" spans="1:20 16374:16384" s="22" customFormat="1" ht="180" x14ac:dyDescent="0.25">
      <c r="A79" s="17" t="s">
        <v>32</v>
      </c>
      <c r="B79" s="19" t="s">
        <v>145</v>
      </c>
      <c r="C79" s="19" t="s">
        <v>421</v>
      </c>
      <c r="D79" s="19" t="s">
        <v>422</v>
      </c>
      <c r="E79" s="23" t="s">
        <v>423</v>
      </c>
      <c r="F79" s="23" t="s">
        <v>424</v>
      </c>
      <c r="G79" s="19" t="s">
        <v>425</v>
      </c>
      <c r="H79" s="19" t="s">
        <v>426</v>
      </c>
      <c r="I79" s="19" t="s">
        <v>427</v>
      </c>
      <c r="J79" s="19" t="s">
        <v>428</v>
      </c>
      <c r="K79" s="19" t="s">
        <v>429</v>
      </c>
      <c r="L79" s="19" t="s">
        <v>430</v>
      </c>
      <c r="M79" s="19" t="s">
        <v>431</v>
      </c>
      <c r="N79" s="25" t="s">
        <v>432</v>
      </c>
      <c r="O79" s="25" t="s">
        <v>433</v>
      </c>
      <c r="P79" s="25" t="s">
        <v>434</v>
      </c>
      <c r="Q79" s="25" t="s">
        <v>435</v>
      </c>
      <c r="R79" s="25" t="s">
        <v>436</v>
      </c>
      <c r="S79" s="21"/>
      <c r="T79" s="21"/>
      <c r="XET79"/>
      <c r="XEU79"/>
      <c r="XEV79"/>
      <c r="XEW79"/>
      <c r="XEX79"/>
      <c r="XEY79"/>
      <c r="XEZ79"/>
      <c r="XFA79"/>
      <c r="XFB79"/>
      <c r="XFC79"/>
      <c r="XFD79"/>
    </row>
    <row r="80" spans="1:20 16374:16384" s="22" customFormat="1" ht="25.5" x14ac:dyDescent="0.25">
      <c r="A80" s="17" t="s">
        <v>38</v>
      </c>
      <c r="B80" s="19" t="s">
        <v>151</v>
      </c>
      <c r="C80" s="19" t="s">
        <v>39</v>
      </c>
      <c r="D80" s="19" t="s">
        <v>41</v>
      </c>
      <c r="E80" s="19" t="s">
        <v>437</v>
      </c>
      <c r="F80" s="19" t="s">
        <v>41</v>
      </c>
      <c r="G80" s="19" t="s">
        <v>41</v>
      </c>
      <c r="H80" s="19" t="s">
        <v>438</v>
      </c>
      <c r="I80" s="19" t="s">
        <v>41</v>
      </c>
      <c r="J80" s="19" t="s">
        <v>438</v>
      </c>
      <c r="K80" s="19" t="s">
        <v>438</v>
      </c>
      <c r="L80" s="19" t="s">
        <v>41</v>
      </c>
      <c r="M80" s="19" t="s">
        <v>438</v>
      </c>
      <c r="N80" s="25" t="s">
        <v>41</v>
      </c>
      <c r="O80" s="25" t="s">
        <v>439</v>
      </c>
      <c r="P80" s="25" t="s">
        <v>39</v>
      </c>
      <c r="Q80" s="25" t="s">
        <v>437</v>
      </c>
      <c r="R80" s="25" t="s">
        <v>41</v>
      </c>
      <c r="S80" s="21"/>
      <c r="T80" s="21"/>
      <c r="XET80"/>
      <c r="XEU80"/>
      <c r="XEV80"/>
      <c r="XEW80"/>
      <c r="XEX80"/>
      <c r="XEY80"/>
      <c r="XEZ80"/>
      <c r="XFA80"/>
      <c r="XFB80"/>
      <c r="XFC80"/>
      <c r="XFD80"/>
    </row>
    <row r="81" spans="1:20" ht="56.65" customHeight="1" x14ac:dyDescent="0.3">
      <c r="A81" s="34" t="s">
        <v>440</v>
      </c>
      <c r="B81" s="12"/>
      <c r="C81" s="12"/>
      <c r="D81" s="12"/>
      <c r="E81" s="12"/>
      <c r="F81" s="12"/>
      <c r="G81" s="12"/>
      <c r="H81" s="12"/>
      <c r="I81" s="12"/>
      <c r="J81" s="12"/>
      <c r="K81" s="12"/>
      <c r="L81" s="12"/>
      <c r="M81" s="7"/>
      <c r="N81" s="7"/>
      <c r="O81" s="7"/>
      <c r="P81" s="7"/>
      <c r="Q81" s="7"/>
      <c r="R81" s="7"/>
      <c r="S81" s="7"/>
      <c r="T81" s="7"/>
    </row>
    <row r="82" spans="1:20" ht="15.75" x14ac:dyDescent="0.25">
      <c r="A82" s="35" t="s">
        <v>441</v>
      </c>
      <c r="B82" s="12"/>
      <c r="C82" s="12"/>
      <c r="D82" s="12"/>
      <c r="E82" s="12"/>
      <c r="F82" s="12"/>
      <c r="G82" s="12"/>
      <c r="H82" s="12"/>
      <c r="I82" s="12"/>
      <c r="J82" s="12"/>
      <c r="K82" s="12"/>
      <c r="L82" s="12"/>
      <c r="M82" s="7"/>
      <c r="N82" s="7"/>
      <c r="O82" s="7"/>
      <c r="P82" s="7"/>
      <c r="Q82" s="7"/>
      <c r="R82" s="7"/>
      <c r="S82" s="7"/>
      <c r="T82" s="7"/>
    </row>
    <row r="83" spans="1:20" ht="56.65" customHeight="1" x14ac:dyDescent="0.3">
      <c r="A83" s="34" t="s">
        <v>442</v>
      </c>
      <c r="B83" s="12"/>
      <c r="C83" s="12"/>
      <c r="D83" s="12"/>
      <c r="E83" s="12"/>
      <c r="F83" s="12"/>
      <c r="G83" s="12"/>
      <c r="H83" s="12"/>
      <c r="I83" s="12"/>
      <c r="J83" s="12"/>
      <c r="K83" s="12"/>
      <c r="L83" s="12"/>
      <c r="M83" s="7"/>
      <c r="N83" s="7"/>
      <c r="O83" s="7"/>
      <c r="P83" s="7"/>
      <c r="Q83" s="7"/>
      <c r="R83" s="7"/>
      <c r="S83" s="7"/>
      <c r="T83" s="7"/>
    </row>
    <row r="84" spans="1:20" ht="15.75" x14ac:dyDescent="0.25">
      <c r="A84" s="6" t="s">
        <v>443</v>
      </c>
      <c r="B84" s="12"/>
      <c r="C84" s="12"/>
      <c r="D84" s="12"/>
      <c r="E84" s="12"/>
      <c r="F84" s="12"/>
      <c r="G84" s="12"/>
      <c r="H84" s="12"/>
      <c r="I84" s="12"/>
      <c r="J84" s="12"/>
      <c r="K84" s="12"/>
      <c r="L84" s="12"/>
      <c r="M84" s="7"/>
      <c r="N84" s="7"/>
      <c r="O84" s="7"/>
      <c r="P84" s="7"/>
      <c r="Q84" s="7"/>
      <c r="R84" s="7"/>
      <c r="S84" s="7"/>
      <c r="T84" s="7"/>
    </row>
    <row r="85" spans="1:20" ht="15.75" customHeight="1" x14ac:dyDescent="0.25"/>
    <row r="86" spans="1:20" ht="15.75" customHeight="1" x14ac:dyDescent="0.25"/>
    <row r="87" spans="1:20" ht="15.75" customHeight="1" x14ac:dyDescent="0.25"/>
    <row r="88" spans="1:20" ht="15.75" customHeight="1" x14ac:dyDescent="0.25"/>
    <row r="89" spans="1:20" ht="15.75" customHeight="1" x14ac:dyDescent="0.25"/>
    <row r="90" spans="1:20" ht="15.75" customHeight="1" x14ac:dyDescent="0.25"/>
    <row r="91" spans="1:20" ht="15.75" customHeight="1" x14ac:dyDescent="0.25"/>
    <row r="92" spans="1:20" ht="15.75" customHeight="1" x14ac:dyDescent="0.25"/>
    <row r="93" spans="1:20" ht="15.75" customHeight="1" x14ac:dyDescent="0.25"/>
    <row r="94" spans="1:20" ht="15.75" customHeight="1" x14ac:dyDescent="0.25"/>
    <row r="95" spans="1:20" ht="15.75" customHeight="1" x14ac:dyDescent="0.25"/>
    <row r="96" spans="1:20"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sheetData>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1048570"/>
  <sheetViews>
    <sheetView zoomScaleNormal="100" workbookViewId="0">
      <selection activeCell="A2" sqref="A2"/>
    </sheetView>
  </sheetViews>
  <sheetFormatPr defaultColWidth="14.5703125" defaultRowHeight="15" x14ac:dyDescent="0.25"/>
  <cols>
    <col min="1" max="2" width="20.42578125" customWidth="1"/>
    <col min="3" max="3" width="23.28515625" customWidth="1"/>
    <col min="4" max="7" width="20.42578125" customWidth="1"/>
    <col min="8" max="8" width="21.5703125" customWidth="1"/>
    <col min="16231" max="16384" width="11.42578125" customWidth="1"/>
  </cols>
  <sheetData>
    <row r="1" spans="1:8" ht="25.5" customHeight="1" x14ac:dyDescent="0.25">
      <c r="A1" s="51" t="s">
        <v>15</v>
      </c>
      <c r="B1" s="52" t="s">
        <v>16</v>
      </c>
      <c r="C1" s="51" t="s">
        <v>17</v>
      </c>
      <c r="D1" s="53" t="s">
        <v>18</v>
      </c>
      <c r="E1" s="53" t="s">
        <v>19</v>
      </c>
      <c r="F1" s="51" t="s">
        <v>20</v>
      </c>
      <c r="G1" s="52" t="s">
        <v>21</v>
      </c>
      <c r="H1" s="53" t="s">
        <v>22</v>
      </c>
    </row>
    <row r="2" spans="1:8" ht="15.75" customHeight="1" x14ac:dyDescent="0.25">
      <c r="A2" s="30"/>
      <c r="B2" s="13"/>
      <c r="C2" s="13"/>
      <c r="D2" s="30"/>
      <c r="E2" s="13"/>
      <c r="F2" s="13"/>
      <c r="G2" s="30"/>
      <c r="H2" s="13"/>
    </row>
    <row r="3" spans="1:8" ht="15.75" customHeight="1" x14ac:dyDescent="0.25"/>
    <row r="4" spans="1:8" ht="15.75" customHeight="1" x14ac:dyDescent="0.25"/>
    <row r="5" spans="1:8" ht="15.75" customHeight="1" x14ac:dyDescent="0.25"/>
    <row r="6" spans="1:8" ht="15.75" customHeight="1" x14ac:dyDescent="0.25"/>
    <row r="7" spans="1:8" ht="15.75" customHeight="1" x14ac:dyDescent="0.25"/>
    <row r="8" spans="1:8" ht="15.75" customHeight="1" x14ac:dyDescent="0.25"/>
    <row r="9" spans="1:8" ht="15.75" customHeight="1" x14ac:dyDescent="0.25"/>
    <row r="10" spans="1:8" ht="15.75" customHeight="1" x14ac:dyDescent="0.25"/>
    <row r="11" spans="1:8" ht="15.75" customHeight="1" x14ac:dyDescent="0.25"/>
    <row r="12" spans="1:8" ht="15.75" customHeight="1" x14ac:dyDescent="0.25"/>
    <row r="13" spans="1:8" ht="15.75" customHeight="1" x14ac:dyDescent="0.25"/>
    <row r="14" spans="1:8" ht="15.75" customHeight="1" x14ac:dyDescent="0.25"/>
    <row r="15" spans="1:8" ht="15.75" customHeight="1" x14ac:dyDescent="0.25"/>
    <row r="16" spans="1:8"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1048567" ht="12.75" customHeight="1" x14ac:dyDescent="0.25"/>
    <row r="1048568" ht="12.75" customHeight="1" x14ac:dyDescent="0.25"/>
    <row r="1048569" ht="12.75" customHeight="1" x14ac:dyDescent="0.25"/>
    <row r="1048570" ht="12.75" customHeight="1" x14ac:dyDescent="0.25"/>
  </sheetData>
  <pageMargins left="0.7" right="0.7" top="0.75" bottom="0.75" header="0.511811023622047" footer="0.511811023622047"/>
  <pageSetup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T977"/>
  <sheetViews>
    <sheetView tabSelected="1" zoomScaleNormal="100" workbookViewId="0">
      <selection activeCell="J19" sqref="J19"/>
    </sheetView>
  </sheetViews>
  <sheetFormatPr defaultColWidth="14.5703125" defaultRowHeight="15" x14ac:dyDescent="0.25"/>
  <cols>
    <col min="1" max="13" width="20.42578125" customWidth="1"/>
    <col min="14" max="14" width="22.140625" customWidth="1"/>
    <col min="15" max="19" width="20.42578125" customWidth="1"/>
    <col min="16315" max="16384" width="11.42578125" customWidth="1"/>
  </cols>
  <sheetData>
    <row r="1" spans="1:20" ht="25.5" customHeight="1" x14ac:dyDescent="0.25">
      <c r="A1" s="52" t="s">
        <v>66</v>
      </c>
      <c r="B1" s="66" t="s">
        <v>701</v>
      </c>
      <c r="C1" s="52" t="s">
        <v>67</v>
      </c>
      <c r="D1" s="51" t="s">
        <v>68</v>
      </c>
      <c r="E1" s="52" t="s">
        <v>69</v>
      </c>
      <c r="F1" s="51" t="s">
        <v>70</v>
      </c>
      <c r="G1" s="52" t="s">
        <v>71</v>
      </c>
      <c r="H1" s="52" t="s">
        <v>72</v>
      </c>
      <c r="I1" s="52" t="s">
        <v>73</v>
      </c>
      <c r="J1" s="51" t="s">
        <v>74</v>
      </c>
      <c r="K1" s="51" t="s">
        <v>75</v>
      </c>
      <c r="L1" s="51" t="s">
        <v>76</v>
      </c>
      <c r="M1" s="52" t="s">
        <v>77</v>
      </c>
      <c r="N1" s="53" t="s">
        <v>78</v>
      </c>
      <c r="O1" s="53" t="s">
        <v>79</v>
      </c>
      <c r="P1" s="52" t="s">
        <v>80</v>
      </c>
      <c r="Q1" s="52" t="s">
        <v>81</v>
      </c>
      <c r="R1" s="51" t="s">
        <v>82</v>
      </c>
      <c r="S1" s="53" t="s">
        <v>83</v>
      </c>
      <c r="T1" s="53" t="s">
        <v>84</v>
      </c>
    </row>
    <row r="2" spans="1:20" ht="15.75" customHeight="1" x14ac:dyDescent="0.25">
      <c r="A2" s="30" t="s">
        <v>671</v>
      </c>
      <c r="B2" s="30"/>
      <c r="C2" s="13"/>
      <c r="D2" s="13"/>
      <c r="E2" s="30"/>
      <c r="F2" s="13"/>
      <c r="G2" s="13"/>
      <c r="H2" s="30"/>
      <c r="I2" s="13"/>
      <c r="J2" s="13"/>
      <c r="K2" s="30"/>
      <c r="L2" s="13"/>
      <c r="M2" s="13"/>
      <c r="N2" s="30"/>
      <c r="O2" s="13"/>
      <c r="P2" s="13"/>
      <c r="Q2" s="30"/>
      <c r="R2" s="13"/>
      <c r="S2" s="13"/>
      <c r="T2" s="30"/>
    </row>
    <row r="3" spans="1:20" ht="15.75" customHeight="1" x14ac:dyDescent="0.25">
      <c r="A3" s="30" t="s">
        <v>672</v>
      </c>
      <c r="B3" s="30"/>
      <c r="C3" s="13"/>
      <c r="D3" s="13"/>
      <c r="E3" s="30"/>
      <c r="F3" s="13"/>
      <c r="G3" s="13"/>
      <c r="H3" s="30"/>
      <c r="I3" s="13"/>
      <c r="J3" s="13"/>
      <c r="K3" s="30"/>
      <c r="L3" s="13"/>
      <c r="M3" s="13"/>
      <c r="N3" s="30"/>
      <c r="O3" s="13"/>
      <c r="P3" s="13"/>
      <c r="Q3" s="30"/>
      <c r="R3" s="13"/>
      <c r="S3" s="13"/>
      <c r="T3" s="30"/>
    </row>
    <row r="4" spans="1:20" ht="15.75" customHeight="1" x14ac:dyDescent="0.25">
      <c r="A4" s="7"/>
      <c r="B4" s="7"/>
      <c r="C4" s="7"/>
      <c r="D4" s="7"/>
      <c r="E4" s="7"/>
      <c r="F4" s="7"/>
      <c r="G4" s="7"/>
      <c r="H4" s="7"/>
      <c r="I4" s="7"/>
      <c r="J4" s="7"/>
      <c r="K4" s="7"/>
      <c r="L4" s="7"/>
      <c r="M4" s="7"/>
      <c r="N4" s="7"/>
      <c r="O4" s="7"/>
      <c r="P4" s="7"/>
      <c r="Q4" s="7"/>
      <c r="R4" s="7"/>
      <c r="S4" s="7"/>
    </row>
    <row r="5" spans="1:20" ht="15.75" customHeight="1" x14ac:dyDescent="0.25">
      <c r="A5" s="7"/>
      <c r="B5" s="7"/>
      <c r="C5" s="7"/>
      <c r="D5" s="7"/>
      <c r="E5" s="7"/>
      <c r="F5" s="7"/>
      <c r="G5" s="7"/>
      <c r="H5" s="7"/>
      <c r="I5" s="7"/>
      <c r="J5" s="7"/>
      <c r="K5" s="7"/>
      <c r="L5" s="7"/>
      <c r="M5" s="7"/>
      <c r="N5" s="7"/>
      <c r="O5" s="7"/>
      <c r="P5" s="7"/>
      <c r="Q5" s="7"/>
      <c r="R5" s="7"/>
      <c r="S5" s="7"/>
    </row>
    <row r="6" spans="1:20" ht="15.75" customHeight="1" x14ac:dyDescent="0.25">
      <c r="A6" s="7"/>
      <c r="B6" s="7"/>
      <c r="C6" s="7"/>
      <c r="D6" s="7"/>
      <c r="E6" s="7"/>
      <c r="F6" s="7"/>
      <c r="G6" s="7"/>
      <c r="H6" s="7"/>
      <c r="I6" s="7"/>
      <c r="J6" s="7"/>
      <c r="K6" s="7"/>
      <c r="L6" s="7"/>
      <c r="M6" s="7"/>
      <c r="N6" s="7"/>
      <c r="O6" s="7"/>
      <c r="P6" s="7"/>
      <c r="Q6" s="7"/>
      <c r="R6" s="7"/>
      <c r="S6" s="7"/>
    </row>
    <row r="7" spans="1:20" ht="15.75" customHeight="1" x14ac:dyDescent="0.25">
      <c r="A7" s="7"/>
      <c r="B7" s="7"/>
      <c r="C7" s="7"/>
      <c r="D7" s="7"/>
      <c r="E7" s="7"/>
      <c r="F7" s="7"/>
      <c r="G7" s="7"/>
      <c r="H7" s="7"/>
      <c r="I7" s="7"/>
      <c r="J7" s="7"/>
      <c r="K7" s="7"/>
      <c r="L7" s="7"/>
      <c r="M7" s="7"/>
      <c r="N7" s="7"/>
      <c r="O7" s="7"/>
      <c r="P7" s="7"/>
      <c r="Q7" s="7"/>
      <c r="R7" s="7"/>
      <c r="S7" s="7"/>
    </row>
    <row r="8" spans="1:20" ht="15.75" customHeight="1" x14ac:dyDescent="0.25">
      <c r="A8" s="7"/>
      <c r="B8" s="7"/>
      <c r="C8" s="7"/>
      <c r="D8" s="7"/>
      <c r="E8" s="7"/>
      <c r="F8" s="7"/>
      <c r="G8" s="7"/>
      <c r="H8" s="7"/>
      <c r="I8" s="7"/>
      <c r="J8" s="7"/>
      <c r="K8" s="7"/>
      <c r="L8" s="7"/>
      <c r="M8" s="7"/>
      <c r="N8" s="7"/>
      <c r="O8" s="7"/>
      <c r="P8" s="7"/>
      <c r="Q8" s="7"/>
      <c r="R8" s="7"/>
      <c r="S8" s="7"/>
    </row>
    <row r="9" spans="1:20" ht="15.75" customHeight="1" x14ac:dyDescent="0.25"/>
    <row r="10" spans="1:20" ht="15.75" customHeight="1" x14ac:dyDescent="0.25"/>
    <row r="11" spans="1:20" ht="15.75" customHeight="1" x14ac:dyDescent="0.25"/>
    <row r="12" spans="1:20" ht="15.75" customHeight="1" x14ac:dyDescent="0.25"/>
    <row r="13" spans="1:20" ht="15.75" customHeight="1" x14ac:dyDescent="0.25"/>
    <row r="14" spans="1:20" ht="15.75" customHeight="1" x14ac:dyDescent="0.25"/>
    <row r="15" spans="1:20" ht="15.75" customHeight="1" x14ac:dyDescent="0.25"/>
    <row r="16" spans="1:20"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sheetData>
  <dataValidations count="1">
    <dataValidation type="list" allowBlank="1" showInputMessage="1" showErrorMessage="1" sqref="B2:B3" xr:uid="{8325CA2E-9AEF-4B88-A4C2-C6DFDAD87C2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97"/>
  <sheetViews>
    <sheetView zoomScaleNormal="100" workbookViewId="0">
      <selection activeCell="C8" sqref="C8"/>
    </sheetView>
  </sheetViews>
  <sheetFormatPr defaultColWidth="14.5703125" defaultRowHeight="15" x14ac:dyDescent="0.25"/>
  <cols>
    <col min="1" max="6" width="20.42578125" customWidth="1"/>
    <col min="16383" max="16383" width="11.42578125" customWidth="1"/>
    <col min="16384" max="16384" width="11.5703125" customWidth="1"/>
  </cols>
  <sheetData>
    <row r="1" spans="1:6" ht="25.5" customHeight="1" x14ac:dyDescent="0.25">
      <c r="A1" s="51" t="s">
        <v>66</v>
      </c>
      <c r="B1" s="52" t="s">
        <v>134</v>
      </c>
      <c r="C1" s="53" t="s">
        <v>135</v>
      </c>
      <c r="D1" s="51" t="s">
        <v>136</v>
      </c>
      <c r="E1" s="52" t="s">
        <v>137</v>
      </c>
      <c r="F1" s="52" t="s">
        <v>138</v>
      </c>
    </row>
    <row r="2" spans="1:6" ht="15" customHeight="1" x14ac:dyDescent="0.25">
      <c r="A2" s="30"/>
      <c r="B2" s="13"/>
      <c r="C2" s="13"/>
      <c r="D2" s="30"/>
      <c r="E2" s="13"/>
      <c r="F2" s="13"/>
    </row>
    <row r="3" spans="1:6" x14ac:dyDescent="0.25">
      <c r="A3" s="7"/>
      <c r="B3" s="7"/>
      <c r="C3" s="7"/>
      <c r="D3" s="7"/>
      <c r="E3" s="7"/>
      <c r="F3" s="7"/>
    </row>
    <row r="4" spans="1:6" x14ac:dyDescent="0.25">
      <c r="A4" s="7"/>
      <c r="B4" s="7"/>
      <c r="C4" s="7"/>
      <c r="D4" s="7"/>
      <c r="E4" s="7"/>
      <c r="F4" s="7"/>
    </row>
    <row r="5" spans="1:6" x14ac:dyDescent="0.25">
      <c r="A5" s="7"/>
      <c r="B5" s="7"/>
      <c r="C5" s="7"/>
      <c r="D5" s="7"/>
      <c r="E5" s="7"/>
      <c r="F5" s="7"/>
    </row>
    <row r="6" spans="1:6" x14ac:dyDescent="0.25">
      <c r="A6" s="7"/>
      <c r="B6" s="7"/>
      <c r="C6" s="7"/>
      <c r="D6" s="7"/>
      <c r="E6" s="7"/>
      <c r="F6" s="7"/>
    </row>
    <row r="7" spans="1:6" x14ac:dyDescent="0.25">
      <c r="A7" s="7"/>
      <c r="B7" s="7"/>
      <c r="C7" s="7"/>
      <c r="D7" s="7"/>
      <c r="E7" s="7"/>
      <c r="F7" s="7"/>
    </row>
    <row r="8" spans="1:6" x14ac:dyDescent="0.25">
      <c r="A8" s="7"/>
      <c r="B8" s="7"/>
      <c r="C8" s="7"/>
      <c r="D8" s="7"/>
      <c r="E8" s="7"/>
      <c r="F8" s="7"/>
    </row>
    <row r="10" spans="1:6" ht="15.75" customHeight="1" x14ac:dyDescent="0.25"/>
    <row r="11" spans="1:6" ht="15.75" customHeight="1" x14ac:dyDescent="0.25"/>
    <row r="12" spans="1:6" ht="15.75" customHeight="1" x14ac:dyDescent="0.25"/>
    <row r="13" spans="1:6" ht="15.75" customHeight="1" x14ac:dyDescent="0.25"/>
    <row r="14" spans="1:6" ht="15.75" customHeight="1" x14ac:dyDescent="0.25"/>
    <row r="15" spans="1:6" ht="15.75" customHeight="1" x14ac:dyDescent="0.25"/>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95E373B1-A45B-45DE-8BD8-32BF05749EFB}">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000"/>
  </sheetPr>
  <dimension ref="A1:X997"/>
  <sheetViews>
    <sheetView zoomScaleNormal="100" workbookViewId="0">
      <selection activeCell="A2" sqref="A2"/>
    </sheetView>
  </sheetViews>
  <sheetFormatPr defaultColWidth="14.5703125" defaultRowHeight="15" x14ac:dyDescent="0.25"/>
  <cols>
    <col min="1" max="4" width="20.42578125" customWidth="1"/>
    <col min="16383" max="16383" width="11.42578125" customWidth="1"/>
    <col min="16384" max="16384" width="11.5703125" customWidth="1"/>
  </cols>
  <sheetData>
    <row r="1" spans="1:24" ht="25.5" customHeight="1" x14ac:dyDescent="0.25">
      <c r="A1" s="52" t="s">
        <v>66</v>
      </c>
      <c r="B1" s="52" t="s">
        <v>159</v>
      </c>
      <c r="C1" s="52" t="s">
        <v>160</v>
      </c>
      <c r="D1" s="52" t="s">
        <v>161</v>
      </c>
      <c r="E1" s="36"/>
      <c r="F1" s="36"/>
      <c r="G1" s="36"/>
      <c r="H1" s="36"/>
      <c r="I1" s="36"/>
      <c r="J1" s="36"/>
      <c r="K1" s="36"/>
      <c r="L1" s="36"/>
      <c r="M1" s="36"/>
      <c r="N1" s="36"/>
      <c r="O1" s="36"/>
      <c r="P1" s="36"/>
      <c r="Q1" s="36"/>
      <c r="R1" s="36"/>
      <c r="S1" s="36"/>
      <c r="T1" s="36"/>
      <c r="U1" s="36"/>
      <c r="V1" s="36"/>
      <c r="W1" s="36"/>
      <c r="X1" s="36"/>
    </row>
    <row r="2" spans="1:24" ht="15" customHeight="1" x14ac:dyDescent="0.25">
      <c r="A2" s="30"/>
      <c r="B2" s="13"/>
      <c r="C2" s="13"/>
      <c r="D2" s="13"/>
    </row>
    <row r="3" spans="1:24" x14ac:dyDescent="0.25">
      <c r="A3" s="7"/>
      <c r="B3" s="7"/>
      <c r="C3" s="7"/>
      <c r="D3" s="7"/>
    </row>
    <row r="4" spans="1:24" ht="15.75" customHeight="1" x14ac:dyDescent="0.25">
      <c r="A4" s="7"/>
      <c r="B4" s="7"/>
      <c r="C4" s="7"/>
      <c r="D4" s="7"/>
    </row>
    <row r="5" spans="1:24" ht="15.75" customHeight="1" x14ac:dyDescent="0.25">
      <c r="A5" s="7"/>
      <c r="B5" s="7"/>
      <c r="C5" s="7"/>
      <c r="D5" s="7"/>
    </row>
    <row r="6" spans="1:24" ht="15.75" customHeight="1" x14ac:dyDescent="0.25">
      <c r="A6" s="7"/>
      <c r="B6" s="7"/>
      <c r="C6" s="7"/>
      <c r="D6" s="7"/>
    </row>
    <row r="7" spans="1:24" ht="15.75" customHeight="1" x14ac:dyDescent="0.25">
      <c r="A7" s="7"/>
      <c r="B7" s="7"/>
      <c r="C7" s="7"/>
      <c r="D7" s="7"/>
    </row>
    <row r="8" spans="1:24" ht="15.75" customHeight="1" x14ac:dyDescent="0.25">
      <c r="A8" s="7"/>
      <c r="B8" s="7"/>
      <c r="C8" s="7"/>
      <c r="D8" s="7"/>
    </row>
    <row r="9" spans="1:24" ht="15.75" customHeight="1" x14ac:dyDescent="0.25"/>
    <row r="10" spans="1:24" ht="15.75" customHeight="1" x14ac:dyDescent="0.25"/>
    <row r="11" spans="1:24" ht="15.75" customHeight="1" x14ac:dyDescent="0.25"/>
    <row r="12" spans="1:24" ht="15.75" customHeight="1" x14ac:dyDescent="0.25"/>
    <row r="13" spans="1:24" ht="15.75" customHeight="1" x14ac:dyDescent="0.25"/>
    <row r="14" spans="1:24" ht="15.75" customHeight="1" x14ac:dyDescent="0.25"/>
    <row r="15" spans="1:24" ht="15.75" customHeight="1" x14ac:dyDescent="0.25"/>
    <row r="16" spans="1:2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75CB6A25-A2F7-4AF7-A843-2FCA2B2FD86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X8"/>
  <sheetViews>
    <sheetView zoomScaleNormal="100" workbookViewId="0">
      <selection sqref="A1:XFD1048576"/>
    </sheetView>
  </sheetViews>
  <sheetFormatPr defaultColWidth="14.5703125" defaultRowHeight="15" x14ac:dyDescent="0.25"/>
  <cols>
    <col min="1" max="1" width="11.42578125" bestFit="1" customWidth="1"/>
    <col min="2" max="2" width="19.85546875" customWidth="1"/>
    <col min="3" max="3" width="22.5703125" customWidth="1"/>
    <col min="4" max="4" width="10.7109375" customWidth="1"/>
    <col min="5" max="5" width="7.85546875" customWidth="1"/>
    <col min="6" max="6" width="9.140625" customWidth="1"/>
    <col min="7" max="7" width="18.140625" customWidth="1"/>
    <col min="8" max="8" width="25.28515625" customWidth="1"/>
    <col min="9" max="9" width="26.85546875" customWidth="1"/>
    <col min="10" max="10" width="24.85546875" customWidth="1"/>
    <col min="11" max="11" width="33.140625" customWidth="1"/>
    <col min="12" max="12" width="30.42578125" customWidth="1"/>
    <col min="13" max="13" width="17.5703125" customWidth="1"/>
    <col min="14" max="14" width="18.85546875" customWidth="1"/>
    <col min="15" max="15" width="25.85546875" customWidth="1"/>
    <col min="16" max="16" width="24.140625" customWidth="1"/>
    <col min="17" max="17" width="23.42578125" customWidth="1"/>
    <col min="18" max="18" width="24" customWidth="1"/>
    <col min="19" max="19" width="23.140625" customWidth="1"/>
    <col min="20" max="20" width="23" customWidth="1"/>
    <col min="21" max="21" width="24.5703125" customWidth="1"/>
    <col min="22" max="22" width="22.5703125" customWidth="1"/>
    <col min="23" max="23" width="30.85546875" customWidth="1"/>
    <col min="24" max="24" width="20.140625" customWidth="1"/>
    <col min="16384" max="16384" width="11.42578125" customWidth="1"/>
  </cols>
  <sheetData>
    <row r="1" spans="1:24" s="37" customFormat="1" x14ac:dyDescent="0.25">
      <c r="A1" s="54" t="s">
        <v>66</v>
      </c>
      <c r="B1" s="54" t="s">
        <v>195</v>
      </c>
      <c r="C1" s="55" t="s">
        <v>196</v>
      </c>
      <c r="D1" s="55" t="s">
        <v>197</v>
      </c>
      <c r="E1" s="55" t="s">
        <v>198</v>
      </c>
      <c r="F1" s="55" t="s">
        <v>199</v>
      </c>
      <c r="G1" s="55" t="s">
        <v>200</v>
      </c>
      <c r="H1" s="56" t="s">
        <v>201</v>
      </c>
      <c r="I1" s="56" t="s">
        <v>202</v>
      </c>
      <c r="J1" s="56" t="s">
        <v>203</v>
      </c>
      <c r="K1" s="56" t="s">
        <v>204</v>
      </c>
      <c r="L1" s="56" t="s">
        <v>205</v>
      </c>
      <c r="M1" s="55" t="s">
        <v>206</v>
      </c>
      <c r="N1" s="55" t="s">
        <v>207</v>
      </c>
      <c r="O1" s="56" t="s">
        <v>208</v>
      </c>
      <c r="P1" s="56" t="s">
        <v>209</v>
      </c>
      <c r="Q1" s="56" t="s">
        <v>210</v>
      </c>
      <c r="R1" s="56" t="s">
        <v>211</v>
      </c>
      <c r="S1" s="56" t="s">
        <v>212</v>
      </c>
      <c r="T1" s="56" t="s">
        <v>213</v>
      </c>
      <c r="U1" s="56" t="s">
        <v>214</v>
      </c>
      <c r="V1" s="56" t="s">
        <v>215</v>
      </c>
      <c r="W1" s="56" t="s">
        <v>216</v>
      </c>
      <c r="X1" s="56" t="s">
        <v>217</v>
      </c>
    </row>
    <row r="2" spans="1:24" x14ac:dyDescent="0.25">
      <c r="A2" s="57"/>
      <c r="B2" s="58"/>
      <c r="C2" s="58"/>
      <c r="D2" s="57"/>
      <c r="E2" s="58"/>
      <c r="F2" s="58"/>
      <c r="G2" s="57"/>
      <c r="H2" s="58"/>
      <c r="I2" s="58"/>
      <c r="J2" s="57"/>
      <c r="K2" s="58"/>
      <c r="L2" s="58"/>
      <c r="M2" s="57"/>
      <c r="N2" s="58"/>
      <c r="O2" s="58"/>
      <c r="P2" s="57"/>
      <c r="Q2" s="58"/>
      <c r="R2" s="58"/>
      <c r="S2" s="58"/>
      <c r="T2" s="58"/>
      <c r="U2" s="58"/>
      <c r="V2" s="58"/>
      <c r="W2" s="58"/>
      <c r="X2" s="58"/>
    </row>
    <row r="3" spans="1:24" x14ac:dyDescent="0.25">
      <c r="A3" s="7"/>
      <c r="B3" s="7"/>
      <c r="C3" s="7"/>
      <c r="D3" s="7"/>
      <c r="E3" s="7"/>
      <c r="F3" s="7"/>
      <c r="G3" s="7"/>
      <c r="H3" s="7"/>
      <c r="I3" s="7"/>
      <c r="J3" s="7"/>
      <c r="K3" s="7"/>
      <c r="L3" s="7"/>
      <c r="M3" s="7"/>
      <c r="N3" s="7"/>
      <c r="O3" s="7"/>
      <c r="P3" s="7"/>
      <c r="Q3" s="7"/>
      <c r="R3" s="7"/>
      <c r="S3" s="7"/>
      <c r="T3" s="7"/>
      <c r="U3" s="7"/>
      <c r="V3" s="7"/>
      <c r="W3" s="7"/>
      <c r="X3" s="7"/>
    </row>
    <row r="4" spans="1:24" x14ac:dyDescent="0.25">
      <c r="A4" s="7"/>
      <c r="B4" s="7"/>
      <c r="C4" s="7"/>
      <c r="D4" s="7"/>
      <c r="E4" s="7"/>
      <c r="F4" s="7"/>
      <c r="G4" s="7"/>
      <c r="H4" s="7"/>
      <c r="I4" s="7"/>
      <c r="J4" s="7"/>
      <c r="K4" s="7"/>
      <c r="L4" s="7"/>
      <c r="M4" s="7"/>
      <c r="N4" s="7"/>
      <c r="O4" s="7"/>
      <c r="P4" s="7"/>
      <c r="Q4" s="7"/>
      <c r="R4" s="7"/>
      <c r="S4" s="7"/>
      <c r="T4" s="7"/>
      <c r="U4" s="7"/>
      <c r="V4" s="7"/>
      <c r="W4" s="7"/>
      <c r="X4" s="7"/>
    </row>
    <row r="5" spans="1:24" x14ac:dyDescent="0.25">
      <c r="A5" s="7"/>
      <c r="B5" s="7"/>
      <c r="C5" s="7"/>
      <c r="D5" s="7"/>
      <c r="E5" s="7"/>
      <c r="F5" s="7"/>
      <c r="G5" s="7"/>
      <c r="H5" s="7"/>
      <c r="I5" s="7"/>
      <c r="J5" s="7"/>
      <c r="K5" s="7"/>
      <c r="L5" s="7"/>
      <c r="M5" s="7"/>
      <c r="N5" s="7"/>
      <c r="O5" s="7"/>
      <c r="P5" s="7"/>
      <c r="Q5" s="7"/>
      <c r="R5" s="7"/>
      <c r="S5" s="7"/>
      <c r="T5" s="7"/>
      <c r="U5" s="7"/>
      <c r="V5" s="7"/>
      <c r="W5" s="7"/>
      <c r="X5" s="7"/>
    </row>
    <row r="6" spans="1:24" x14ac:dyDescent="0.25">
      <c r="A6" s="7"/>
      <c r="B6" s="7"/>
      <c r="C6" s="7"/>
      <c r="D6" s="7"/>
      <c r="E6" s="7"/>
      <c r="F6" s="7"/>
      <c r="G6" s="7"/>
      <c r="H6" s="7"/>
      <c r="I6" s="7"/>
      <c r="J6" s="7"/>
      <c r="K6" s="7"/>
      <c r="L6" s="7"/>
      <c r="M6" s="7"/>
      <c r="N6" s="7"/>
      <c r="O6" s="7"/>
      <c r="P6" s="7"/>
      <c r="Q6" s="7"/>
      <c r="R6" s="7"/>
      <c r="S6" s="7"/>
      <c r="T6" s="7"/>
      <c r="U6" s="7"/>
      <c r="V6" s="7"/>
      <c r="W6" s="7"/>
      <c r="X6" s="7"/>
    </row>
    <row r="7" spans="1:24" x14ac:dyDescent="0.25">
      <c r="A7" s="7"/>
      <c r="B7" s="7"/>
      <c r="C7" s="7"/>
      <c r="D7" s="7"/>
      <c r="E7" s="7"/>
      <c r="F7" s="7"/>
      <c r="G7" s="7"/>
      <c r="H7" s="7"/>
      <c r="I7" s="7"/>
      <c r="J7" s="7"/>
      <c r="K7" s="7"/>
      <c r="L7" s="7"/>
      <c r="M7" s="7"/>
      <c r="N7" s="7"/>
      <c r="O7" s="7"/>
      <c r="P7" s="7"/>
      <c r="Q7" s="7"/>
      <c r="R7" s="7"/>
      <c r="S7" s="7"/>
      <c r="T7" s="7"/>
      <c r="U7" s="7"/>
      <c r="V7" s="7"/>
      <c r="W7" s="7"/>
      <c r="X7" s="7"/>
    </row>
    <row r="8" spans="1:24" x14ac:dyDescent="0.25">
      <c r="A8" s="7"/>
      <c r="B8" s="7"/>
      <c r="C8" s="7"/>
      <c r="D8" s="7"/>
      <c r="E8" s="7"/>
      <c r="F8" s="7"/>
      <c r="G8" s="7"/>
      <c r="H8" s="7"/>
      <c r="I8" s="7"/>
      <c r="J8" s="7"/>
      <c r="K8" s="7"/>
      <c r="L8" s="7"/>
      <c r="M8" s="7"/>
      <c r="N8" s="7"/>
      <c r="O8" s="7"/>
      <c r="P8" s="7"/>
      <c r="Q8" s="7"/>
      <c r="R8" s="7"/>
      <c r="S8" s="7"/>
      <c r="T8" s="7"/>
      <c r="U8" s="7"/>
      <c r="V8" s="7"/>
      <c r="W8" s="7"/>
      <c r="X8" s="7"/>
    </row>
  </sheetData>
  <dataValidations count="1">
    <dataValidation type="list" allowBlank="1" showInputMessage="1" showErrorMessage="1" sqref="A2" xr:uid="{8C59A5A3-F5F2-4F3A-B80E-7871C95E3BB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997"/>
  <sheetViews>
    <sheetView zoomScaleNormal="100" workbookViewId="0">
      <selection activeCell="H13" sqref="H13"/>
    </sheetView>
  </sheetViews>
  <sheetFormatPr defaultColWidth="14.5703125" defaultRowHeight="15" x14ac:dyDescent="0.25"/>
  <cols>
    <col min="1" max="3" width="20.42578125" customWidth="1"/>
    <col min="16384" max="16384" width="11.42578125" customWidth="1"/>
  </cols>
  <sheetData>
    <row r="1" spans="1:4" ht="25.5" customHeight="1" x14ac:dyDescent="0.25">
      <c r="A1" s="52" t="s">
        <v>66</v>
      </c>
      <c r="B1" s="52" t="s">
        <v>270</v>
      </c>
      <c r="C1" s="52" t="s">
        <v>271</v>
      </c>
    </row>
    <row r="2" spans="1:4" ht="15" customHeight="1" x14ac:dyDescent="0.25">
      <c r="A2" s="30"/>
      <c r="B2" s="13"/>
      <c r="C2" s="13"/>
      <c r="D2" s="38"/>
    </row>
    <row r="3" spans="1:4" x14ac:dyDescent="0.25">
      <c r="A3" s="7"/>
      <c r="B3" s="7"/>
      <c r="C3" s="7"/>
    </row>
    <row r="4" spans="1:4" x14ac:dyDescent="0.25">
      <c r="A4" s="7"/>
      <c r="B4" s="7"/>
      <c r="C4" s="7"/>
    </row>
    <row r="5" spans="1:4" x14ac:dyDescent="0.25">
      <c r="A5" s="7"/>
      <c r="B5" s="7"/>
      <c r="C5" s="7"/>
    </row>
    <row r="6" spans="1:4" x14ac:dyDescent="0.25">
      <c r="A6" s="7"/>
      <c r="B6" s="7"/>
      <c r="C6" s="7"/>
    </row>
    <row r="7" spans="1:4" x14ac:dyDescent="0.25">
      <c r="A7" s="7"/>
      <c r="B7" s="7"/>
      <c r="C7" s="7"/>
    </row>
    <row r="8" spans="1:4" x14ac:dyDescent="0.25">
      <c r="A8" s="7"/>
      <c r="B8" s="7"/>
      <c r="C8" s="7"/>
    </row>
    <row r="12" spans="1:4" ht="15.75" customHeight="1" x14ac:dyDescent="0.25"/>
    <row r="13" spans="1:4" ht="15.75" customHeight="1" x14ac:dyDescent="0.25"/>
    <row r="14" spans="1:4" ht="15.75" customHeight="1" x14ac:dyDescent="0.25"/>
    <row r="15" spans="1:4" ht="15.75" customHeight="1" x14ac:dyDescent="0.25"/>
    <row r="16" spans="1: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2">
    <dataValidation type="list" allowBlank="1" showInputMessage="1" showErrorMessage="1" sqref="A2" xr:uid="{F0012BD8-AD23-4059-8955-C8C950130C4D}">
      <formula1>INDIRECT("study[studyId]")</formula1>
    </dataValidation>
    <dataValidation type="list" allowBlank="1" showInputMessage="1" showErrorMessage="1" sqref="B2" xr:uid="{D23A136B-F06D-463E-A5F3-58A48D58102D}">
      <formula1>INDIRECT("environmentParameters[envParam]")</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A1:O11"/>
  <sheetViews>
    <sheetView zoomScaleNormal="100" workbookViewId="0">
      <selection activeCell="F27" sqref="F27"/>
    </sheetView>
  </sheetViews>
  <sheetFormatPr defaultColWidth="14.5703125" defaultRowHeight="15" x14ac:dyDescent="0.25"/>
  <cols>
    <col min="1" max="6" width="20.42578125" customWidth="1"/>
    <col min="7" max="8" width="11.42578125" customWidth="1"/>
    <col min="9" max="15" width="10.5703125" customWidth="1"/>
  </cols>
  <sheetData>
    <row r="1" spans="1:15" s="36" customFormat="1" x14ac:dyDescent="0.25">
      <c r="A1" s="52" t="s">
        <v>66</v>
      </c>
      <c r="B1" s="52" t="s">
        <v>681</v>
      </c>
      <c r="C1" s="64" t="s">
        <v>680</v>
      </c>
      <c r="D1" s="52" t="s">
        <v>282</v>
      </c>
      <c r="E1" s="51" t="s">
        <v>283</v>
      </c>
      <c r="F1" s="63" t="s">
        <v>284</v>
      </c>
      <c r="G1" s="39"/>
      <c r="H1" s="39"/>
      <c r="I1" s="39"/>
      <c r="J1" s="39"/>
      <c r="K1" s="39"/>
      <c r="L1" s="39"/>
      <c r="M1" s="39"/>
      <c r="N1" s="39"/>
      <c r="O1" s="39"/>
    </row>
    <row r="2" spans="1:15" x14ac:dyDescent="0.25">
      <c r="A2" s="30" t="s">
        <v>671</v>
      </c>
      <c r="B2" s="30" t="s">
        <v>683</v>
      </c>
      <c r="C2" s="30" t="str">
        <f>CONCATENATE(experimentalFactor[studyId],"-",experimentalFactor[expeFactorCode])</f>
        <v>S1-N</v>
      </c>
      <c r="D2" s="13"/>
      <c r="E2" s="13"/>
      <c r="F2" s="30"/>
      <c r="G2" s="40"/>
      <c r="H2" s="40"/>
      <c r="I2" s="40"/>
      <c r="J2" s="40"/>
      <c r="K2" s="40"/>
      <c r="L2" s="40"/>
      <c r="M2" s="40"/>
      <c r="N2" s="40"/>
      <c r="O2" s="40"/>
    </row>
    <row r="3" spans="1:15" x14ac:dyDescent="0.25">
      <c r="A3" s="7"/>
      <c r="B3" s="7"/>
      <c r="C3" s="7"/>
      <c r="D3" s="7"/>
      <c r="E3" s="7"/>
      <c r="F3" s="7"/>
      <c r="G3" s="40"/>
      <c r="H3" s="40"/>
      <c r="I3" s="40"/>
      <c r="J3" s="40"/>
      <c r="K3" s="40"/>
      <c r="L3" s="40"/>
      <c r="M3" s="40"/>
      <c r="N3" s="40"/>
      <c r="O3" s="40"/>
    </row>
    <row r="4" spans="1:15" x14ac:dyDescent="0.25">
      <c r="A4" s="7"/>
      <c r="B4" s="7"/>
      <c r="C4" s="7"/>
      <c r="D4" s="7"/>
      <c r="E4" s="7"/>
      <c r="F4" s="7"/>
      <c r="G4" s="40"/>
      <c r="H4" s="40"/>
      <c r="I4" s="40"/>
      <c r="J4" s="40"/>
      <c r="K4" s="40"/>
      <c r="L4" s="40"/>
      <c r="M4" s="40"/>
      <c r="N4" s="40"/>
      <c r="O4" s="40"/>
    </row>
    <row r="5" spans="1:15" x14ac:dyDescent="0.25">
      <c r="A5" s="7"/>
      <c r="B5" s="7"/>
      <c r="C5" s="7"/>
      <c r="D5" s="7"/>
      <c r="E5" s="7"/>
      <c r="F5" s="7"/>
      <c r="G5" s="40"/>
      <c r="H5" s="40"/>
      <c r="I5" s="40"/>
      <c r="J5" s="40"/>
      <c r="K5" s="40"/>
      <c r="L5" s="40"/>
      <c r="M5" s="40"/>
      <c r="N5" s="40"/>
      <c r="O5" s="40"/>
    </row>
    <row r="6" spans="1:15" x14ac:dyDescent="0.25">
      <c r="A6" s="7"/>
      <c r="B6" s="7"/>
      <c r="C6" s="7"/>
      <c r="D6" s="7"/>
      <c r="E6" s="7"/>
      <c r="F6" s="7"/>
      <c r="G6" s="40"/>
      <c r="H6" s="40"/>
      <c r="I6" s="40"/>
      <c r="J6" s="40"/>
      <c r="K6" s="40"/>
      <c r="L6" s="40"/>
      <c r="M6" s="40"/>
      <c r="N6" s="40"/>
      <c r="O6" s="40"/>
    </row>
    <row r="7" spans="1:15" x14ac:dyDescent="0.25">
      <c r="A7" s="7"/>
      <c r="B7" s="7"/>
      <c r="C7" s="7"/>
      <c r="D7" s="7"/>
      <c r="E7" s="7"/>
      <c r="F7" s="7"/>
      <c r="G7" s="40"/>
      <c r="H7" s="40"/>
      <c r="I7" s="40"/>
      <c r="J7" s="40"/>
      <c r="K7" s="40"/>
      <c r="L7" s="40"/>
      <c r="M7" s="40"/>
      <c r="N7" s="40"/>
      <c r="O7" s="40"/>
    </row>
    <row r="8" spans="1:15" x14ac:dyDescent="0.25">
      <c r="A8" s="7"/>
      <c r="B8" s="7"/>
      <c r="C8" s="7"/>
      <c r="D8" s="7"/>
      <c r="E8" s="7"/>
      <c r="F8" s="7"/>
      <c r="G8" s="40"/>
      <c r="H8" s="40"/>
      <c r="I8" s="40"/>
      <c r="J8" s="40"/>
      <c r="K8" s="40"/>
      <c r="L8" s="40"/>
      <c r="M8" s="40"/>
      <c r="N8" s="40"/>
      <c r="O8" s="40"/>
    </row>
    <row r="9" spans="1:15" x14ac:dyDescent="0.25">
      <c r="A9" s="40"/>
      <c r="B9" s="40"/>
      <c r="C9" s="40"/>
      <c r="D9" s="40"/>
      <c r="E9" s="40"/>
      <c r="F9" s="40"/>
      <c r="G9" s="40"/>
      <c r="H9" s="40"/>
      <c r="I9" s="40"/>
      <c r="J9" s="40"/>
      <c r="K9" s="40"/>
      <c r="L9" s="40"/>
      <c r="M9" s="40"/>
      <c r="N9" s="40"/>
      <c r="O9" s="40"/>
    </row>
    <row r="10" spans="1:15" x14ac:dyDescent="0.25">
      <c r="A10" s="40"/>
      <c r="B10" s="40"/>
      <c r="C10" s="40"/>
      <c r="D10" s="40"/>
      <c r="E10" s="40"/>
      <c r="F10" s="40"/>
      <c r="G10" s="40"/>
      <c r="H10" s="40"/>
      <c r="I10" s="40"/>
      <c r="J10" s="40"/>
      <c r="K10" s="40"/>
      <c r="L10" s="40"/>
      <c r="M10" s="40"/>
      <c r="N10" s="40"/>
      <c r="O10" s="40"/>
    </row>
    <row r="11" spans="1:15" x14ac:dyDescent="0.25">
      <c r="A11" s="40"/>
      <c r="B11" s="40"/>
      <c r="C11" s="40"/>
      <c r="D11" s="40"/>
      <c r="E11" s="40"/>
      <c r="F11" s="40"/>
      <c r="G11" s="40"/>
      <c r="H11" s="40"/>
      <c r="I11" s="40"/>
      <c r="J11" s="40"/>
      <c r="K11" s="40"/>
      <c r="L11" s="40"/>
      <c r="M11" s="40"/>
      <c r="N11" s="40"/>
      <c r="O11" s="40"/>
    </row>
  </sheetData>
  <dataValidations count="1">
    <dataValidation type="list" allowBlank="1" showInputMessage="1" showErrorMessage="1" sqref="A2" xr:uid="{42E4EFB7-2070-4231-8483-B5E1780AC7C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E16F6-2188-4422-AF91-E595A36EE21A}">
  <sheetPr>
    <tabColor theme="5"/>
  </sheetPr>
  <dimension ref="A1:E2"/>
  <sheetViews>
    <sheetView workbookViewId="0">
      <selection activeCell="D1" sqref="D1"/>
    </sheetView>
  </sheetViews>
  <sheetFormatPr defaultRowHeight="15" x14ac:dyDescent="0.25"/>
  <cols>
    <col min="1" max="1" width="14.140625" bestFit="1" customWidth="1"/>
    <col min="2" max="2" width="30" customWidth="1"/>
    <col min="3" max="3" width="21.42578125" bestFit="1" customWidth="1"/>
    <col min="4" max="4" width="25.5703125" customWidth="1"/>
    <col min="5" max="5" width="21.140625" bestFit="1" customWidth="1"/>
  </cols>
  <sheetData>
    <row r="1" spans="1:5" x14ac:dyDescent="0.25">
      <c r="A1" t="s">
        <v>680</v>
      </c>
      <c r="B1" s="65" t="s">
        <v>684</v>
      </c>
      <c r="C1" s="60" t="s">
        <v>689</v>
      </c>
      <c r="D1" t="s">
        <v>685</v>
      </c>
      <c r="E1" t="s">
        <v>686</v>
      </c>
    </row>
    <row r="2" spans="1:5" x14ac:dyDescent="0.25">
      <c r="A2" t="s">
        <v>687</v>
      </c>
      <c r="B2" t="str">
        <f>CONCATENATE(experimentalFactorLevel[expeFactorId],"-",experimentalFactorLevel[expeFactorLevelCode])</f>
        <v>S1-N-N1</v>
      </c>
      <c r="C2" s="60" t="s">
        <v>688</v>
      </c>
    </row>
  </sheetData>
  <dataValidations count="1">
    <dataValidation type="list" allowBlank="1" showInputMessage="1" showErrorMessage="1" sqref="A2" xr:uid="{BB15239E-DF5D-4524-AED3-F9F9639D5B2D}">
      <formula1>INDIRECT("experimentalFactor[expeFactorId]")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997"/>
  <sheetViews>
    <sheetView zoomScaleNormal="100" workbookViewId="0">
      <selection activeCell="E11" sqref="E11"/>
    </sheetView>
  </sheetViews>
  <sheetFormatPr defaultColWidth="14.5703125" defaultRowHeight="15" x14ac:dyDescent="0.25"/>
  <cols>
    <col min="1" max="6" width="20.42578125" customWidth="1"/>
    <col min="7" max="13" width="43.28515625" customWidth="1"/>
    <col min="16384" max="16384" width="11.42578125" customWidth="1"/>
  </cols>
  <sheetData>
    <row r="1" spans="1:14" s="42" customFormat="1" ht="25.5" customHeight="1" x14ac:dyDescent="0.25">
      <c r="A1" s="52" t="s">
        <v>66</v>
      </c>
      <c r="B1" s="51" t="s">
        <v>299</v>
      </c>
      <c r="C1" s="51" t="s">
        <v>684</v>
      </c>
      <c r="D1" s="52" t="s">
        <v>300</v>
      </c>
      <c r="E1" s="53" t="s">
        <v>301</v>
      </c>
      <c r="F1" s="51" t="s">
        <v>302</v>
      </c>
      <c r="G1" s="52" t="s">
        <v>303</v>
      </c>
      <c r="H1" s="41"/>
      <c r="I1" s="41"/>
      <c r="J1" s="41"/>
      <c r="K1" s="41"/>
      <c r="L1" s="41"/>
      <c r="M1" s="41"/>
      <c r="N1" s="41"/>
    </row>
    <row r="2" spans="1:14" ht="12.75" customHeight="1" x14ac:dyDescent="0.25">
      <c r="A2" s="30"/>
      <c r="B2" s="13"/>
      <c r="C2" s="13" t="s">
        <v>700</v>
      </c>
      <c r="D2" s="13"/>
      <c r="E2" s="30"/>
      <c r="F2" s="13"/>
      <c r="G2" s="13"/>
      <c r="H2" s="40"/>
      <c r="I2" s="40"/>
      <c r="J2" s="40"/>
      <c r="K2" s="40"/>
      <c r="L2" s="40"/>
      <c r="M2" s="40"/>
      <c r="N2" s="40"/>
    </row>
    <row r="3" spans="1:14" ht="12.75" customHeight="1" x14ac:dyDescent="0.25">
      <c r="A3" s="7"/>
      <c r="B3" s="7"/>
      <c r="C3" s="7"/>
      <c r="D3" s="7"/>
      <c r="E3" s="7"/>
      <c r="F3" s="7"/>
      <c r="G3" s="40"/>
      <c r="H3" s="40"/>
      <c r="I3" s="40"/>
      <c r="J3" s="40"/>
      <c r="K3" s="40"/>
      <c r="L3" s="40"/>
      <c r="M3" s="40"/>
    </row>
    <row r="4" spans="1:14" ht="12.75" customHeight="1" x14ac:dyDescent="0.25">
      <c r="A4" s="7"/>
      <c r="B4" s="7"/>
      <c r="C4" s="7"/>
      <c r="D4" s="7"/>
      <c r="E4" s="7"/>
      <c r="F4" s="7"/>
      <c r="G4" s="40"/>
      <c r="H4" s="40"/>
      <c r="I4" s="40"/>
      <c r="J4" s="40"/>
      <c r="K4" s="40"/>
      <c r="L4" s="40"/>
      <c r="M4" s="40"/>
    </row>
    <row r="5" spans="1:14" ht="12.75" customHeight="1" x14ac:dyDescent="0.25">
      <c r="A5" s="7"/>
      <c r="B5" s="7"/>
      <c r="C5" s="7"/>
      <c r="D5" s="7"/>
      <c r="E5" s="7"/>
      <c r="F5" s="7"/>
      <c r="G5" s="40"/>
      <c r="H5" s="40"/>
      <c r="I5" s="40"/>
      <c r="J5" s="40"/>
      <c r="K5" s="40"/>
      <c r="L5" s="40"/>
      <c r="M5" s="40"/>
    </row>
    <row r="6" spans="1:14" ht="12.75" customHeight="1" x14ac:dyDescent="0.25">
      <c r="A6" s="7"/>
      <c r="B6" s="7"/>
      <c r="C6" s="7"/>
      <c r="D6" s="7"/>
      <c r="E6" s="7"/>
      <c r="F6" s="7"/>
      <c r="G6" s="40"/>
      <c r="H6" s="40"/>
      <c r="I6" s="40"/>
      <c r="J6" s="40"/>
      <c r="K6" s="40"/>
      <c r="L6" s="40"/>
      <c r="M6" s="40"/>
    </row>
    <row r="7" spans="1:14" ht="12.75" customHeight="1" x14ac:dyDescent="0.25">
      <c r="A7" s="7"/>
      <c r="B7" s="7"/>
      <c r="C7" s="7"/>
      <c r="D7" s="7"/>
      <c r="E7" s="7"/>
      <c r="F7" s="7"/>
      <c r="G7" s="40"/>
      <c r="H7" s="40"/>
      <c r="I7" s="40"/>
      <c r="J7" s="40"/>
      <c r="K7" s="40"/>
      <c r="L7" s="40"/>
      <c r="M7" s="40"/>
    </row>
    <row r="8" spans="1:14" ht="12.75" customHeight="1" x14ac:dyDescent="0.25">
      <c r="A8" s="7"/>
      <c r="B8" s="7"/>
      <c r="C8" s="7"/>
      <c r="D8" s="7"/>
      <c r="E8" s="7"/>
      <c r="F8" s="7"/>
      <c r="G8" s="40"/>
      <c r="H8" s="40"/>
      <c r="I8" s="40"/>
      <c r="J8" s="40"/>
      <c r="K8" s="40"/>
      <c r="L8" s="40"/>
      <c r="M8" s="40"/>
    </row>
    <row r="9" spans="1:14" ht="12.75" customHeight="1" x14ac:dyDescent="0.25">
      <c r="A9" s="40"/>
      <c r="B9" s="40"/>
      <c r="C9" s="40"/>
      <c r="D9" s="40"/>
      <c r="E9" s="40"/>
      <c r="F9" s="40"/>
      <c r="G9" s="40"/>
      <c r="H9" s="40"/>
      <c r="I9" s="40"/>
      <c r="J9" s="40"/>
      <c r="K9" s="40"/>
      <c r="L9" s="40"/>
      <c r="M9" s="40"/>
    </row>
    <row r="10" spans="1:14" ht="15.75" customHeight="1" x14ac:dyDescent="0.25"/>
    <row r="11" spans="1:14" ht="15.75" customHeight="1" x14ac:dyDescent="0.25"/>
    <row r="12" spans="1:14" ht="15.75" customHeight="1" x14ac:dyDescent="0.25"/>
    <row r="13" spans="1:14" ht="15.75" customHeight="1" x14ac:dyDescent="0.25"/>
    <row r="14" spans="1:14" ht="15.75" customHeight="1" x14ac:dyDescent="0.25"/>
    <row r="15" spans="1:14" ht="15.75" customHeight="1" x14ac:dyDescent="0.25"/>
    <row r="16" spans="1:1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2">
    <dataValidation type="list" allowBlank="1" showInputMessage="1" showErrorMessage="1" sqref="A2" xr:uid="{649E6E49-1C43-4DBC-A22C-62A99DEF1F6A}">
      <formula1>INDIRECT("study[studyId]")</formula1>
    </dataValidation>
    <dataValidation type="list" allowBlank="1" showInputMessage="1" showErrorMessage="1" sqref="C2" xr:uid="{3FDC3BD9-29EA-4CC9-B0E3-920E59601C65}">
      <formula1>INDIRECT("experimentalFactorLevel[expeFactorLevelId]")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M997"/>
  <sheetViews>
    <sheetView zoomScaleNormal="100" workbookViewId="0">
      <selection activeCell="C2" sqref="C2"/>
    </sheetView>
  </sheetViews>
  <sheetFormatPr defaultColWidth="14.5703125" defaultRowHeight="15" x14ac:dyDescent="0.25"/>
  <cols>
    <col min="1" max="7" width="20.42578125" customWidth="1"/>
    <col min="8" max="13" width="10.5703125" customWidth="1"/>
    <col min="16384" max="16384" width="11.42578125" customWidth="1"/>
  </cols>
  <sheetData>
    <row r="1" spans="1:13" s="36" customFormat="1" ht="25.5" customHeight="1" x14ac:dyDescent="0.25">
      <c r="A1" s="52" t="s">
        <v>66</v>
      </c>
      <c r="B1" s="52" t="s">
        <v>195</v>
      </c>
      <c r="C1" s="52" t="s">
        <v>299</v>
      </c>
      <c r="D1" s="52" t="s">
        <v>323</v>
      </c>
      <c r="E1" s="53" t="s">
        <v>324</v>
      </c>
      <c r="F1" s="51" t="s">
        <v>325</v>
      </c>
      <c r="G1" s="51" t="s">
        <v>326</v>
      </c>
      <c r="H1" s="41"/>
      <c r="I1" s="41"/>
      <c r="J1" s="41"/>
      <c r="K1" s="41"/>
      <c r="L1" s="41"/>
      <c r="M1" s="41"/>
    </row>
    <row r="2" spans="1:13" ht="12.75" customHeight="1" x14ac:dyDescent="0.25">
      <c r="A2" s="30"/>
      <c r="B2" s="13"/>
      <c r="C2" s="13"/>
      <c r="D2" s="30"/>
      <c r="E2" s="13"/>
      <c r="F2" s="13"/>
      <c r="G2" s="30"/>
      <c r="H2" s="43"/>
      <c r="I2" s="43"/>
      <c r="J2" s="43"/>
      <c r="K2" s="43"/>
      <c r="L2" s="43"/>
      <c r="M2" s="43"/>
    </row>
    <row r="3" spans="1:13" ht="12.75" customHeight="1" x14ac:dyDescent="0.25">
      <c r="A3" s="7"/>
      <c r="B3" s="7"/>
      <c r="C3" s="7"/>
      <c r="D3" s="7"/>
      <c r="E3" s="7"/>
      <c r="F3" s="7"/>
      <c r="G3" s="7"/>
      <c r="H3" s="43"/>
      <c r="I3" s="43"/>
      <c r="J3" s="43"/>
      <c r="K3" s="43"/>
      <c r="L3" s="43"/>
      <c r="M3" s="43"/>
    </row>
    <row r="4" spans="1:13" ht="12.75" customHeight="1" x14ac:dyDescent="0.25">
      <c r="A4" s="7"/>
      <c r="B4" s="7"/>
      <c r="C4" s="7"/>
      <c r="D4" s="7"/>
      <c r="E4" s="7"/>
      <c r="F4" s="7"/>
      <c r="G4" s="7"/>
      <c r="H4" s="43"/>
      <c r="I4" s="43"/>
      <c r="J4" s="43"/>
      <c r="K4" s="43"/>
      <c r="L4" s="43"/>
      <c r="M4" s="43"/>
    </row>
    <row r="5" spans="1:13" ht="12.75" customHeight="1" x14ac:dyDescent="0.25">
      <c r="A5" s="7"/>
      <c r="B5" s="7"/>
      <c r="C5" s="7"/>
      <c r="D5" s="7"/>
      <c r="E5" s="7"/>
      <c r="F5" s="7"/>
      <c r="G5" s="7"/>
      <c r="H5" s="43"/>
      <c r="I5" s="43"/>
      <c r="J5" s="43"/>
      <c r="K5" s="43"/>
      <c r="L5" s="43"/>
      <c r="M5" s="43"/>
    </row>
    <row r="6" spans="1:13" ht="12.75" customHeight="1" x14ac:dyDescent="0.25">
      <c r="A6" s="7"/>
      <c r="B6" s="7"/>
      <c r="C6" s="7"/>
      <c r="D6" s="7"/>
      <c r="E6" s="7"/>
      <c r="F6" s="7"/>
      <c r="G6" s="7"/>
      <c r="H6" s="43"/>
      <c r="I6" s="43"/>
      <c r="J6" s="43"/>
      <c r="K6" s="43"/>
      <c r="L6" s="43"/>
      <c r="M6" s="43"/>
    </row>
    <row r="7" spans="1:13" ht="12.75" customHeight="1" x14ac:dyDescent="0.25">
      <c r="A7" s="7"/>
      <c r="B7" s="7"/>
      <c r="C7" s="7"/>
      <c r="D7" s="7"/>
      <c r="E7" s="7"/>
      <c r="F7" s="7"/>
      <c r="G7" s="7"/>
      <c r="H7" s="43"/>
      <c r="I7" s="43"/>
      <c r="J7" s="43"/>
      <c r="K7" s="43"/>
      <c r="L7" s="43"/>
      <c r="M7" s="43"/>
    </row>
    <row r="8" spans="1:13" ht="12.75" customHeight="1" x14ac:dyDescent="0.25">
      <c r="A8" s="7"/>
      <c r="B8" s="7"/>
      <c r="C8" s="7"/>
      <c r="D8" s="7"/>
      <c r="E8" s="7"/>
      <c r="F8" s="7"/>
      <c r="G8" s="7"/>
      <c r="H8" s="43"/>
      <c r="I8" s="43"/>
      <c r="J8" s="43"/>
      <c r="K8" s="43"/>
      <c r="L8" s="43"/>
      <c r="M8" s="43"/>
    </row>
    <row r="9" spans="1:13" ht="12.75" customHeight="1" x14ac:dyDescent="0.25">
      <c r="A9" s="43"/>
      <c r="B9" s="43"/>
      <c r="C9" s="43"/>
      <c r="D9" s="43"/>
      <c r="E9" s="43"/>
      <c r="F9" s="43"/>
      <c r="G9" s="43"/>
      <c r="H9" s="43"/>
      <c r="I9" s="43"/>
      <c r="J9" s="43"/>
      <c r="K9" s="43"/>
      <c r="L9" s="43"/>
      <c r="M9" s="43"/>
    </row>
    <row r="10" spans="1:13" ht="15.75" customHeight="1" x14ac:dyDescent="0.25"/>
    <row r="11" spans="1:13" ht="15.75" customHeight="1" x14ac:dyDescent="0.25"/>
    <row r="12" spans="1:13" ht="15.75" customHeight="1" x14ac:dyDescent="0.25"/>
    <row r="13" spans="1:13" ht="15.75" customHeight="1" x14ac:dyDescent="0.25"/>
    <row r="14" spans="1:13" ht="15.75" customHeight="1" x14ac:dyDescent="0.25"/>
    <row r="15" spans="1:13" ht="15.75" customHeight="1" x14ac:dyDescent="0.25"/>
    <row r="16" spans="1:13"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C9CAF3F9-1E81-44B5-A4D0-E0C67AD055FB}">
      <formula1>INDIRECT("study[studyId]")</formula1>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997"/>
  <sheetViews>
    <sheetView zoomScaleNormal="100" workbookViewId="0">
      <selection activeCell="B2" sqref="B2"/>
    </sheetView>
  </sheetViews>
  <sheetFormatPr defaultColWidth="14.5703125" defaultRowHeight="15" x14ac:dyDescent="0.25"/>
  <cols>
    <col min="1" max="7" width="20.42578125" style="44" customWidth="1"/>
    <col min="16384" max="16384" width="11.42578125" customWidth="1"/>
  </cols>
  <sheetData>
    <row r="1" spans="1:13" s="36" customFormat="1" ht="25.35" customHeight="1" x14ac:dyDescent="0.25">
      <c r="A1" s="52" t="s">
        <v>299</v>
      </c>
      <c r="B1" s="52" t="s">
        <v>349</v>
      </c>
      <c r="C1" s="51" t="s">
        <v>350</v>
      </c>
      <c r="D1" s="52" t="s">
        <v>351</v>
      </c>
      <c r="E1" s="51" t="s">
        <v>352</v>
      </c>
      <c r="F1" s="52" t="s">
        <v>353</v>
      </c>
      <c r="G1" s="51" t="s">
        <v>324</v>
      </c>
      <c r="H1" s="33"/>
      <c r="I1" s="33"/>
      <c r="J1" s="33"/>
      <c r="K1" s="33"/>
      <c r="L1" s="33"/>
      <c r="M1" s="33"/>
    </row>
    <row r="2" spans="1:13" ht="15" customHeight="1" x14ac:dyDescent="0.25">
      <c r="A2" s="30"/>
      <c r="B2" s="13"/>
      <c r="C2" s="13"/>
      <c r="D2" s="30"/>
      <c r="E2" s="13"/>
      <c r="F2" s="13"/>
      <c r="G2" s="30"/>
      <c r="H2" s="45"/>
      <c r="I2" s="45"/>
      <c r="J2" s="45"/>
      <c r="K2" s="45"/>
      <c r="L2" s="45"/>
      <c r="M2" s="45"/>
    </row>
    <row r="3" spans="1:13" x14ac:dyDescent="0.25">
      <c r="A3" s="59"/>
      <c r="B3" s="59"/>
      <c r="C3" s="59"/>
      <c r="D3" s="59"/>
      <c r="E3" s="59"/>
      <c r="F3" s="59"/>
      <c r="G3" s="59"/>
      <c r="H3" s="45"/>
      <c r="I3" s="45"/>
      <c r="J3" s="45"/>
      <c r="K3" s="45"/>
      <c r="L3" s="45"/>
      <c r="M3" s="45"/>
    </row>
    <row r="4" spans="1:13" x14ac:dyDescent="0.25">
      <c r="A4" s="59"/>
      <c r="B4" s="59"/>
      <c r="C4" s="59"/>
      <c r="D4" s="59"/>
      <c r="E4" s="59"/>
      <c r="F4" s="59"/>
      <c r="G4" s="59"/>
      <c r="H4" s="45"/>
      <c r="I4" s="45"/>
      <c r="J4" s="45"/>
      <c r="K4" s="45"/>
      <c r="L4" s="45"/>
      <c r="M4" s="45"/>
    </row>
    <row r="5" spans="1:13" x14ac:dyDescent="0.25">
      <c r="A5" s="59"/>
      <c r="B5" s="59"/>
      <c r="C5" s="59"/>
      <c r="D5" s="59"/>
      <c r="E5" s="59"/>
      <c r="F5" s="59"/>
      <c r="G5" s="59"/>
      <c r="H5" s="45"/>
      <c r="I5" s="45"/>
      <c r="J5" s="45"/>
      <c r="K5" s="45"/>
      <c r="L5" s="45"/>
      <c r="M5" s="45"/>
    </row>
    <row r="6" spans="1:13" x14ac:dyDescent="0.25">
      <c r="A6" s="59"/>
      <c r="B6" s="59"/>
      <c r="C6" s="59"/>
      <c r="D6" s="59"/>
      <c r="E6" s="59"/>
      <c r="F6" s="59"/>
      <c r="G6" s="59"/>
      <c r="H6" s="45"/>
      <c r="I6" s="45"/>
      <c r="J6" s="45"/>
      <c r="K6" s="45"/>
      <c r="L6" s="45"/>
      <c r="M6" s="45"/>
    </row>
    <row r="7" spans="1:13" x14ac:dyDescent="0.25">
      <c r="A7" s="59"/>
      <c r="B7" s="59"/>
      <c r="C7" s="59"/>
      <c r="D7" s="59"/>
      <c r="E7" s="59"/>
      <c r="F7" s="59"/>
      <c r="G7" s="59"/>
      <c r="H7" s="45"/>
      <c r="I7" s="45"/>
      <c r="J7" s="45"/>
      <c r="K7" s="45"/>
      <c r="L7" s="45"/>
      <c r="M7" s="45"/>
    </row>
    <row r="8" spans="1:13" x14ac:dyDescent="0.25">
      <c r="A8" s="59"/>
      <c r="B8" s="59"/>
      <c r="C8" s="59"/>
      <c r="D8" s="59"/>
      <c r="E8" s="59"/>
      <c r="F8" s="59"/>
      <c r="G8" s="59"/>
      <c r="H8" s="45"/>
      <c r="I8" s="45"/>
      <c r="J8" s="45"/>
      <c r="K8" s="45"/>
      <c r="L8" s="45"/>
      <c r="M8" s="45"/>
    </row>
    <row r="9" spans="1:13" ht="15.75" customHeight="1" x14ac:dyDescent="0.25">
      <c r="A9" s="46"/>
      <c r="B9" s="46"/>
      <c r="C9" s="46"/>
      <c r="D9" s="46"/>
      <c r="E9" s="46"/>
      <c r="F9" s="46"/>
      <c r="G9" s="46"/>
      <c r="H9" s="45"/>
      <c r="I9" s="45"/>
      <c r="J9" s="45"/>
      <c r="K9" s="45"/>
      <c r="L9" s="45"/>
      <c r="M9" s="45"/>
    </row>
    <row r="10" spans="1:13" ht="15.75" customHeight="1" x14ac:dyDescent="0.25"/>
    <row r="11" spans="1:13" ht="15.75" customHeight="1" x14ac:dyDescent="0.25"/>
    <row r="12" spans="1:13" ht="15.75" customHeight="1" x14ac:dyDescent="0.25"/>
    <row r="13" spans="1:13" ht="15.75" customHeight="1" x14ac:dyDescent="0.25"/>
    <row r="14" spans="1:13" ht="15.75" customHeight="1" x14ac:dyDescent="0.25"/>
    <row r="15" spans="1:13" ht="15.75" customHeight="1" x14ac:dyDescent="0.25"/>
    <row r="16" spans="1:13"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pageMargins left="0.7" right="0.7" top="0.75" bottom="0.75" header="0.511811023622047" footer="0.511811023622047"/>
  <pageSetup orientation="landscape"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U997"/>
  <sheetViews>
    <sheetView zoomScaleNormal="100" workbookViewId="0">
      <selection activeCell="A2" sqref="A2"/>
    </sheetView>
  </sheetViews>
  <sheetFormatPr defaultColWidth="14.5703125" defaultRowHeight="15" x14ac:dyDescent="0.25"/>
  <cols>
    <col min="1" max="1" width="8.85546875" customWidth="1"/>
    <col min="2" max="2" width="11.42578125" customWidth="1"/>
    <col min="3" max="3" width="14.85546875" customWidth="1"/>
    <col min="4" max="4" width="19.7109375" customWidth="1"/>
    <col min="5" max="5" width="14.7109375" customWidth="1"/>
    <col min="6" max="6" width="13.7109375" bestFit="1" customWidth="1"/>
    <col min="7" max="7" width="26.140625" customWidth="1"/>
    <col min="8" max="8" width="17.85546875" customWidth="1"/>
    <col min="9" max="9" width="33.140625" customWidth="1"/>
    <col min="10" max="10" width="16" customWidth="1"/>
    <col min="11" max="11" width="14.28515625" customWidth="1"/>
    <col min="12" max="12" width="19.140625" customWidth="1"/>
    <col min="13" max="13" width="13.28515625" customWidth="1"/>
    <col min="14" max="14" width="12.140625" customWidth="1"/>
    <col min="15" max="15" width="12.28515625" customWidth="1"/>
    <col min="16" max="18" width="17.140625" customWidth="1"/>
    <col min="19" max="19" width="23.85546875" bestFit="1" customWidth="1"/>
    <col min="20" max="20" width="18.5703125" bestFit="1" customWidth="1"/>
    <col min="21" max="21" width="27.85546875" bestFit="1" customWidth="1"/>
    <col min="16383" max="16383" width="11.42578125" customWidth="1"/>
    <col min="16384" max="16384" width="11.5703125" customWidth="1"/>
  </cols>
  <sheetData>
    <row r="1" spans="1:21" s="37" customFormat="1" ht="25.35" customHeight="1" x14ac:dyDescent="0.25">
      <c r="A1" s="54" t="s">
        <v>66</v>
      </c>
      <c r="B1" s="54" t="s">
        <v>388</v>
      </c>
      <c r="C1" s="55" t="s">
        <v>389</v>
      </c>
      <c r="D1" s="56" t="s">
        <v>690</v>
      </c>
      <c r="E1" s="54" t="s">
        <v>391</v>
      </c>
      <c r="F1" s="56" t="s">
        <v>392</v>
      </c>
      <c r="G1" s="56" t="s">
        <v>691</v>
      </c>
      <c r="H1" s="56" t="s">
        <v>394</v>
      </c>
      <c r="I1" s="56" t="s">
        <v>692</v>
      </c>
      <c r="J1" s="56" t="s">
        <v>693</v>
      </c>
      <c r="K1" s="54" t="s">
        <v>397</v>
      </c>
      <c r="L1" s="56" t="s">
        <v>694</v>
      </c>
      <c r="M1" s="55" t="s">
        <v>399</v>
      </c>
      <c r="N1" s="55" t="s">
        <v>400</v>
      </c>
      <c r="O1" s="54" t="s">
        <v>401</v>
      </c>
      <c r="P1" s="56" t="s">
        <v>695</v>
      </c>
      <c r="Q1" s="56" t="s">
        <v>403</v>
      </c>
      <c r="R1" s="56" t="s">
        <v>696</v>
      </c>
      <c r="S1" s="56" t="s">
        <v>697</v>
      </c>
      <c r="T1" s="56" t="s">
        <v>698</v>
      </c>
      <c r="U1" s="56" t="s">
        <v>699</v>
      </c>
    </row>
    <row r="2" spans="1:21" ht="12.75" customHeight="1" x14ac:dyDescent="0.25">
      <c r="A2" s="13"/>
      <c r="B2" s="30"/>
      <c r="C2" s="13"/>
      <c r="D2" s="13"/>
      <c r="E2" s="30"/>
      <c r="F2" s="13"/>
      <c r="G2" s="13"/>
      <c r="H2" s="30"/>
      <c r="I2" s="30"/>
      <c r="J2" s="30"/>
      <c r="K2" s="30"/>
      <c r="L2" s="30"/>
      <c r="M2" s="30"/>
      <c r="N2" s="30"/>
      <c r="O2" s="30"/>
      <c r="P2" s="30"/>
      <c r="Q2" s="30"/>
      <c r="R2" s="30"/>
      <c r="S2" s="30"/>
      <c r="T2" s="30"/>
      <c r="U2" s="30"/>
    </row>
    <row r="3" spans="1:21" ht="12.75" customHeight="1" x14ac:dyDescent="0.25">
      <c r="A3" s="7"/>
      <c r="B3" s="7"/>
      <c r="C3" s="7"/>
      <c r="D3" s="7"/>
      <c r="E3" s="7"/>
      <c r="F3" s="7"/>
      <c r="G3" s="7"/>
      <c r="H3" s="7"/>
      <c r="I3" s="7"/>
      <c r="J3" s="7"/>
      <c r="K3" s="7"/>
      <c r="L3" s="7"/>
      <c r="M3" s="7"/>
      <c r="N3" s="7"/>
      <c r="O3" s="7"/>
      <c r="P3" s="7"/>
      <c r="Q3" s="7"/>
      <c r="R3" s="7"/>
      <c r="S3" s="7"/>
      <c r="T3" s="7"/>
      <c r="U3" s="7"/>
    </row>
    <row r="4" spans="1:21" ht="15.75" customHeight="1" x14ac:dyDescent="0.25">
      <c r="A4" s="7"/>
      <c r="B4" s="7"/>
      <c r="C4" s="7"/>
      <c r="D4" s="7"/>
      <c r="E4" s="7"/>
      <c r="F4" s="7"/>
      <c r="G4" s="7"/>
      <c r="H4" s="7"/>
      <c r="I4" s="7"/>
      <c r="J4" s="7"/>
      <c r="K4" s="7"/>
      <c r="L4" s="7"/>
      <c r="M4" s="7"/>
      <c r="N4" s="7"/>
      <c r="O4" s="7"/>
      <c r="P4" s="7"/>
      <c r="Q4" s="7"/>
      <c r="R4" s="7"/>
      <c r="S4" s="7"/>
      <c r="T4" s="7"/>
      <c r="U4" s="7"/>
    </row>
    <row r="5" spans="1:21" ht="15.75" customHeight="1" x14ac:dyDescent="0.25">
      <c r="A5" s="7"/>
      <c r="B5" s="7"/>
      <c r="C5" s="7"/>
      <c r="D5" s="7"/>
      <c r="E5" s="7"/>
      <c r="F5" s="7"/>
      <c r="G5" s="7"/>
      <c r="H5" s="7"/>
      <c r="I5" s="7"/>
      <c r="J5" s="7"/>
      <c r="K5" s="7"/>
      <c r="L5" s="7"/>
      <c r="M5" s="7"/>
      <c r="N5" s="7"/>
      <c r="O5" s="7"/>
      <c r="P5" s="7"/>
      <c r="Q5" s="7"/>
      <c r="R5" s="7"/>
      <c r="S5" s="7"/>
      <c r="T5" s="7"/>
      <c r="U5" s="7"/>
    </row>
    <row r="6" spans="1:21" ht="15.75" customHeight="1" x14ac:dyDescent="0.25">
      <c r="A6" s="7"/>
      <c r="B6" s="7"/>
      <c r="C6" s="7"/>
      <c r="D6" s="7"/>
      <c r="E6" s="7"/>
      <c r="F6" s="7"/>
      <c r="G6" s="7"/>
      <c r="H6" s="7"/>
      <c r="I6" s="7"/>
      <c r="J6" s="7"/>
      <c r="K6" s="7"/>
      <c r="L6" s="7"/>
      <c r="M6" s="7"/>
      <c r="N6" s="7"/>
      <c r="O6" s="7"/>
      <c r="P6" s="7"/>
      <c r="Q6" s="7"/>
      <c r="R6" s="7"/>
      <c r="S6" s="7"/>
      <c r="T6" s="7"/>
      <c r="U6" s="7"/>
    </row>
    <row r="7" spans="1:21" ht="15.75" customHeight="1" x14ac:dyDescent="0.25">
      <c r="A7" s="7"/>
      <c r="B7" s="7"/>
      <c r="C7" s="7"/>
      <c r="D7" s="7"/>
      <c r="E7" s="7"/>
      <c r="F7" s="7"/>
      <c r="G7" s="7"/>
      <c r="H7" s="7"/>
      <c r="I7" s="7"/>
      <c r="J7" s="7"/>
      <c r="K7" s="7"/>
      <c r="L7" s="7"/>
      <c r="M7" s="7"/>
      <c r="N7" s="7"/>
      <c r="O7" s="7"/>
      <c r="P7" s="7"/>
      <c r="Q7" s="7"/>
      <c r="R7" s="7"/>
      <c r="S7" s="7"/>
      <c r="T7" s="7"/>
      <c r="U7" s="7"/>
    </row>
    <row r="8" spans="1:21" ht="15.75" customHeight="1" x14ac:dyDescent="0.25">
      <c r="A8" s="7"/>
      <c r="B8" s="7"/>
      <c r="C8" s="7"/>
      <c r="D8" s="7"/>
      <c r="E8" s="7"/>
      <c r="F8" s="7"/>
      <c r="G8" s="7"/>
      <c r="H8" s="7"/>
      <c r="I8" s="7"/>
      <c r="J8" s="7"/>
      <c r="K8" s="7"/>
      <c r="L8" s="7"/>
      <c r="M8" s="7"/>
      <c r="N8" s="7"/>
      <c r="O8" s="7"/>
      <c r="P8" s="7"/>
      <c r="Q8" s="7"/>
      <c r="R8" s="7"/>
      <c r="S8" s="7"/>
      <c r="T8" s="7"/>
      <c r="U8" s="7"/>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C55DF1AA-2FC1-4B63-B809-4C8E590CBCD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8D81E-B798-4ACE-A55A-BBC317916E2E}">
  <sheetPr>
    <tabColor theme="1" tint="0.499984740745262"/>
  </sheetPr>
  <dimension ref="A1:C3"/>
  <sheetViews>
    <sheetView workbookViewId="0">
      <selection activeCell="B9" sqref="B9"/>
    </sheetView>
  </sheetViews>
  <sheetFormatPr defaultRowHeight="15" x14ac:dyDescent="0.25"/>
  <cols>
    <col min="1" max="1" width="16" bestFit="1" customWidth="1"/>
    <col min="2" max="3" width="41.5703125" bestFit="1" customWidth="1"/>
  </cols>
  <sheetData>
    <row r="1" spans="1:3" x14ac:dyDescent="0.25">
      <c r="A1" s="60" t="s">
        <v>270</v>
      </c>
      <c r="B1" s="60" t="s">
        <v>673</v>
      </c>
      <c r="C1" s="60" t="s">
        <v>674</v>
      </c>
    </row>
    <row r="2" spans="1:3" x14ac:dyDescent="0.25">
      <c r="A2" s="61" t="s">
        <v>675</v>
      </c>
      <c r="B2" s="62" t="s">
        <v>676</v>
      </c>
      <c r="C2" t="s">
        <v>677</v>
      </c>
    </row>
    <row r="3" spans="1:3" x14ac:dyDescent="0.25">
      <c r="A3" t="s">
        <v>678</v>
      </c>
      <c r="B3" s="62" t="s">
        <v>679</v>
      </c>
    </row>
  </sheetData>
  <hyperlinks>
    <hyperlink ref="B2" r:id="rId1" xr:uid="{DBE23AF4-F5A4-459B-B645-EA5587742E1C}"/>
  </hyperlinks>
  <pageMargins left="0.7" right="0.7" top="0.75" bottom="0.75" header="0.3" footer="0.3"/>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sheetPr>
  <dimension ref="A1:T1001"/>
  <sheetViews>
    <sheetView zoomScaleNormal="100" workbookViewId="0">
      <selection activeCell="C50" sqref="C50"/>
    </sheetView>
  </sheetViews>
  <sheetFormatPr defaultColWidth="14.5703125" defaultRowHeight="15" x14ac:dyDescent="0.25"/>
  <cols>
    <col min="1" max="1" width="46.42578125" style="44" customWidth="1"/>
    <col min="2" max="4" width="48.85546875" style="44" customWidth="1"/>
  </cols>
  <sheetData>
    <row r="1" spans="1:20" ht="26.25" x14ac:dyDescent="0.4">
      <c r="A1" s="2" t="s">
        <v>266</v>
      </c>
      <c r="B1" s="3"/>
      <c r="C1" s="3"/>
      <c r="D1" s="3"/>
      <c r="E1" s="3"/>
      <c r="F1" s="3"/>
      <c r="G1" s="3"/>
      <c r="H1" s="3"/>
      <c r="I1" s="3"/>
      <c r="J1" s="3"/>
      <c r="K1" s="3"/>
      <c r="L1" s="3"/>
      <c r="M1" s="4"/>
      <c r="N1" s="4"/>
      <c r="O1" s="4"/>
      <c r="P1" s="4"/>
      <c r="Q1" s="4"/>
      <c r="R1" s="4"/>
      <c r="S1" s="4"/>
      <c r="T1" s="4"/>
    </row>
    <row r="2" spans="1:20" ht="15.75" x14ac:dyDescent="0.25">
      <c r="A2" s="6" t="s">
        <v>444</v>
      </c>
      <c r="B2" s="7"/>
      <c r="C2" s="7"/>
      <c r="D2" s="7"/>
      <c r="E2" s="7"/>
      <c r="F2" s="7"/>
      <c r="G2" s="7"/>
      <c r="H2" s="7"/>
      <c r="I2" s="7"/>
      <c r="J2" s="7"/>
      <c r="K2" s="7"/>
      <c r="L2" s="7"/>
      <c r="M2" s="8"/>
      <c r="N2" s="8"/>
      <c r="O2" s="8"/>
      <c r="P2" s="8"/>
      <c r="Q2" s="8"/>
      <c r="R2" s="8"/>
      <c r="S2" s="8"/>
      <c r="T2" s="8"/>
    </row>
    <row r="3" spans="1:20" ht="15.75" x14ac:dyDescent="0.25">
      <c r="A3" s="6"/>
      <c r="B3" s="7"/>
      <c r="C3" s="7"/>
      <c r="D3" s="7"/>
      <c r="E3" s="7"/>
      <c r="F3" s="7"/>
      <c r="G3" s="7"/>
      <c r="H3" s="7"/>
      <c r="I3" s="7"/>
      <c r="J3" s="7"/>
      <c r="K3" s="7"/>
      <c r="L3" s="7"/>
      <c r="M3" s="8"/>
      <c r="N3" s="8"/>
      <c r="O3" s="8"/>
      <c r="P3" s="8"/>
      <c r="Q3" s="8"/>
      <c r="R3" s="8"/>
      <c r="S3" s="8"/>
      <c r="T3" s="8"/>
    </row>
    <row r="4" spans="1:20" ht="28.5" customHeight="1" x14ac:dyDescent="0.25">
      <c r="A4" s="47" t="s">
        <v>445</v>
      </c>
      <c r="B4" s="47" t="s">
        <v>23</v>
      </c>
      <c r="C4" s="47" t="s">
        <v>446</v>
      </c>
      <c r="D4" s="47" t="s">
        <v>38</v>
      </c>
    </row>
    <row r="5" spans="1:20" s="49" customFormat="1" ht="15" customHeight="1" x14ac:dyDescent="0.25">
      <c r="A5" s="6" t="s">
        <v>447</v>
      </c>
      <c r="B5" s="48"/>
      <c r="C5" s="48"/>
      <c r="D5" s="48"/>
    </row>
    <row r="6" spans="1:20" s="49" customFormat="1" ht="30" x14ac:dyDescent="0.25">
      <c r="A6" s="50" t="s">
        <v>448</v>
      </c>
      <c r="B6" s="50" t="s">
        <v>449</v>
      </c>
      <c r="C6" s="50" t="s">
        <v>450</v>
      </c>
      <c r="D6" s="50" t="s">
        <v>262</v>
      </c>
    </row>
    <row r="7" spans="1:20" s="49" customFormat="1" ht="30" x14ac:dyDescent="0.25">
      <c r="A7" s="50" t="s">
        <v>451</v>
      </c>
      <c r="B7" s="50" t="s">
        <v>452</v>
      </c>
      <c r="C7" s="50" t="s">
        <v>453</v>
      </c>
      <c r="D7" s="50" t="s">
        <v>262</v>
      </c>
    </row>
    <row r="8" spans="1:20" s="49" customFormat="1" ht="30" x14ac:dyDescent="0.25">
      <c r="A8" s="50" t="s">
        <v>454</v>
      </c>
      <c r="B8" s="50" t="s">
        <v>455</v>
      </c>
      <c r="C8" s="50" t="s">
        <v>456</v>
      </c>
      <c r="D8" s="50" t="s">
        <v>262</v>
      </c>
    </row>
    <row r="9" spans="1:20" s="49" customFormat="1" ht="30" x14ac:dyDescent="0.25">
      <c r="A9" s="50" t="s">
        <v>457</v>
      </c>
      <c r="B9" s="50" t="s">
        <v>458</v>
      </c>
      <c r="C9" s="50" t="s">
        <v>459</v>
      </c>
      <c r="D9" s="50" t="s">
        <v>460</v>
      </c>
    </row>
    <row r="10" spans="1:20" s="49" customFormat="1" x14ac:dyDescent="0.25">
      <c r="A10" s="50" t="s">
        <v>461</v>
      </c>
      <c r="B10" s="50" t="s">
        <v>462</v>
      </c>
      <c r="C10" s="50">
        <v>16</v>
      </c>
      <c r="D10" s="50" t="s">
        <v>262</v>
      </c>
    </row>
    <row r="11" spans="1:20" s="49" customFormat="1" x14ac:dyDescent="0.25">
      <c r="A11" s="50" t="s">
        <v>463</v>
      </c>
      <c r="B11" s="50" t="s">
        <v>464</v>
      </c>
      <c r="C11" s="50" t="s">
        <v>465</v>
      </c>
      <c r="D11" s="50" t="s">
        <v>262</v>
      </c>
    </row>
    <row r="12" spans="1:20" s="49" customFormat="1" ht="30" x14ac:dyDescent="0.25">
      <c r="A12" s="50" t="s">
        <v>466</v>
      </c>
      <c r="B12" s="50" t="s">
        <v>467</v>
      </c>
      <c r="C12" s="50" t="s">
        <v>465</v>
      </c>
      <c r="D12" s="50" t="s">
        <v>262</v>
      </c>
    </row>
    <row r="13" spans="1:20" s="49" customFormat="1" ht="30" x14ac:dyDescent="0.25">
      <c r="A13" s="50" t="s">
        <v>468</v>
      </c>
      <c r="B13" s="50" t="s">
        <v>469</v>
      </c>
      <c r="C13" s="50" t="s">
        <v>470</v>
      </c>
      <c r="D13" s="50" t="s">
        <v>262</v>
      </c>
    </row>
    <row r="14" spans="1:20" s="49" customFormat="1" ht="30" x14ac:dyDescent="0.25">
      <c r="A14" s="50" t="s">
        <v>471</v>
      </c>
      <c r="B14" s="50" t="s">
        <v>472</v>
      </c>
      <c r="C14" s="50" t="s">
        <v>473</v>
      </c>
      <c r="D14" s="50" t="s">
        <v>460</v>
      </c>
    </row>
    <row r="15" spans="1:20" s="49" customFormat="1" x14ac:dyDescent="0.25">
      <c r="A15" s="50" t="s">
        <v>474</v>
      </c>
      <c r="B15" s="50" t="s">
        <v>475</v>
      </c>
      <c r="C15" s="50" t="s">
        <v>476</v>
      </c>
      <c r="D15" s="50" t="s">
        <v>262</v>
      </c>
    </row>
    <row r="16" spans="1:20" s="49" customFormat="1" x14ac:dyDescent="0.25">
      <c r="A16" s="50" t="s">
        <v>477</v>
      </c>
      <c r="B16" s="50" t="s">
        <v>478</v>
      </c>
      <c r="C16" s="50" t="s">
        <v>479</v>
      </c>
      <c r="D16" s="50" t="s">
        <v>262</v>
      </c>
    </row>
    <row r="17" spans="1:20" s="49" customFormat="1" x14ac:dyDescent="0.25">
      <c r="A17" s="50" t="s">
        <v>480</v>
      </c>
      <c r="B17" s="50" t="s">
        <v>481</v>
      </c>
      <c r="C17" s="50" t="s">
        <v>479</v>
      </c>
      <c r="D17" s="50" t="s">
        <v>262</v>
      </c>
    </row>
    <row r="18" spans="1:20" s="49" customFormat="1" ht="30" x14ac:dyDescent="0.25">
      <c r="A18" s="50" t="s">
        <v>482</v>
      </c>
      <c r="B18" s="50" t="s">
        <v>483</v>
      </c>
      <c r="C18" s="50" t="s">
        <v>479</v>
      </c>
      <c r="D18" s="50" t="s">
        <v>262</v>
      </c>
    </row>
    <row r="19" spans="1:20" s="49" customFormat="1" ht="45" x14ac:dyDescent="0.25">
      <c r="A19" s="50" t="s">
        <v>484</v>
      </c>
      <c r="B19" s="50" t="s">
        <v>485</v>
      </c>
      <c r="C19" s="50" t="s">
        <v>486</v>
      </c>
      <c r="D19" s="50" t="s">
        <v>262</v>
      </c>
    </row>
    <row r="20" spans="1:20" s="49" customFormat="1" ht="30" x14ac:dyDescent="0.25">
      <c r="A20" s="50" t="s">
        <v>487</v>
      </c>
      <c r="B20" s="50" t="s">
        <v>488</v>
      </c>
      <c r="C20" s="50" t="s">
        <v>489</v>
      </c>
      <c r="D20" s="50" t="s">
        <v>460</v>
      </c>
    </row>
    <row r="21" spans="1:20" s="49" customFormat="1" ht="75" x14ac:dyDescent="0.25">
      <c r="A21" s="50" t="s">
        <v>490</v>
      </c>
      <c r="B21" s="50" t="s">
        <v>491</v>
      </c>
      <c r="C21" s="50" t="s">
        <v>492</v>
      </c>
      <c r="D21" s="50" t="s">
        <v>262</v>
      </c>
    </row>
    <row r="22" spans="1:20" s="49" customFormat="1" ht="60" x14ac:dyDescent="0.25">
      <c r="A22" s="50" t="s">
        <v>493</v>
      </c>
      <c r="B22" s="50" t="s">
        <v>494</v>
      </c>
      <c r="C22" s="50">
        <v>0.3</v>
      </c>
      <c r="D22" s="50" t="s">
        <v>262</v>
      </c>
    </row>
    <row r="23" spans="1:20" s="49" customFormat="1" ht="60" x14ac:dyDescent="0.25">
      <c r="A23" s="50" t="s">
        <v>495</v>
      </c>
      <c r="B23" s="50" t="s">
        <v>496</v>
      </c>
      <c r="C23" s="50" t="s">
        <v>497</v>
      </c>
      <c r="D23" s="50" t="s">
        <v>262</v>
      </c>
    </row>
    <row r="24" spans="1:20" s="49" customFormat="1" ht="12.75" customHeight="1" x14ac:dyDescent="0.25">
      <c r="A24" s="50" t="s">
        <v>498</v>
      </c>
      <c r="B24" s="50" t="s">
        <v>499</v>
      </c>
      <c r="C24" s="50">
        <v>0.33</v>
      </c>
      <c r="D24" s="50" t="s">
        <v>262</v>
      </c>
    </row>
    <row r="25" spans="1:20" s="49" customFormat="1" ht="15" customHeight="1" x14ac:dyDescent="0.25">
      <c r="A25" s="6" t="s">
        <v>500</v>
      </c>
      <c r="B25" s="48"/>
      <c r="C25" s="48"/>
      <c r="D25" s="48"/>
    </row>
    <row r="26" spans="1:20" s="49" customFormat="1" ht="45" x14ac:dyDescent="0.25">
      <c r="A26" s="50" t="s">
        <v>501</v>
      </c>
      <c r="B26" s="50" t="s">
        <v>502</v>
      </c>
      <c r="C26" s="50" t="s">
        <v>503</v>
      </c>
      <c r="D26" s="50" t="s">
        <v>504</v>
      </c>
    </row>
    <row r="27" spans="1:20" ht="30" x14ac:dyDescent="0.25">
      <c r="A27" s="50" t="s">
        <v>505</v>
      </c>
      <c r="B27" s="50" t="s">
        <v>506</v>
      </c>
      <c r="C27" s="50" t="s">
        <v>507</v>
      </c>
      <c r="D27" s="50" t="s">
        <v>460</v>
      </c>
      <c r="E27" s="49"/>
      <c r="F27" s="49"/>
      <c r="G27" s="49"/>
      <c r="H27" s="49"/>
      <c r="I27" s="49"/>
      <c r="J27" s="49"/>
      <c r="K27" s="49"/>
      <c r="L27" s="49"/>
      <c r="M27" s="49"/>
      <c r="N27" s="49"/>
      <c r="O27" s="49"/>
      <c r="P27" s="49"/>
      <c r="Q27" s="49"/>
      <c r="R27" s="49"/>
      <c r="S27" s="49"/>
      <c r="T27" s="49"/>
    </row>
    <row r="28" spans="1:20" x14ac:dyDescent="0.25">
      <c r="A28" s="50" t="s">
        <v>508</v>
      </c>
      <c r="B28" s="50" t="s">
        <v>509</v>
      </c>
      <c r="C28" s="50" t="s">
        <v>510</v>
      </c>
      <c r="D28" s="50" t="s">
        <v>262</v>
      </c>
      <c r="E28" s="49"/>
      <c r="F28" s="49"/>
      <c r="G28" s="49"/>
      <c r="H28" s="49"/>
      <c r="I28" s="49"/>
      <c r="J28" s="49"/>
      <c r="K28" s="49"/>
      <c r="L28" s="49"/>
      <c r="M28" s="49"/>
      <c r="N28" s="49"/>
      <c r="O28" s="49"/>
      <c r="P28" s="49"/>
      <c r="Q28" s="49"/>
      <c r="R28" s="49"/>
      <c r="S28" s="49"/>
      <c r="T28" s="49"/>
    </row>
    <row r="29" spans="1:20" x14ac:dyDescent="0.25">
      <c r="A29" s="50" t="s">
        <v>511</v>
      </c>
      <c r="B29" s="50" t="s">
        <v>512</v>
      </c>
      <c r="C29" s="50" t="s">
        <v>513</v>
      </c>
      <c r="D29" s="50" t="s">
        <v>262</v>
      </c>
      <c r="E29" s="49"/>
      <c r="F29" s="49"/>
      <c r="G29" s="49"/>
      <c r="H29" s="49"/>
      <c r="I29" s="49"/>
      <c r="J29" s="49"/>
      <c r="K29" s="49"/>
      <c r="L29" s="49"/>
      <c r="M29" s="49"/>
      <c r="N29" s="49"/>
      <c r="O29" s="49"/>
      <c r="P29" s="49"/>
      <c r="Q29" s="49"/>
      <c r="R29" s="49"/>
      <c r="S29" s="49"/>
      <c r="T29" s="49"/>
    </row>
    <row r="30" spans="1:20" x14ac:dyDescent="0.25">
      <c r="A30" s="50" t="s">
        <v>514</v>
      </c>
      <c r="B30" s="50" t="s">
        <v>515</v>
      </c>
      <c r="C30" s="50" t="s">
        <v>516</v>
      </c>
      <c r="D30" s="50" t="s">
        <v>262</v>
      </c>
      <c r="E30" s="49"/>
      <c r="F30" s="49"/>
      <c r="G30" s="49"/>
      <c r="H30" s="49"/>
      <c r="I30" s="49"/>
      <c r="J30" s="49"/>
      <c r="K30" s="49"/>
      <c r="L30" s="49"/>
      <c r="M30" s="49"/>
      <c r="N30" s="49"/>
      <c r="O30" s="49"/>
      <c r="P30" s="49"/>
      <c r="Q30" s="49"/>
      <c r="R30" s="49"/>
      <c r="S30" s="49"/>
      <c r="T30" s="49"/>
    </row>
    <row r="31" spans="1:20" ht="30" x14ac:dyDescent="0.25">
      <c r="A31" s="50" t="s">
        <v>517</v>
      </c>
      <c r="B31" s="50" t="s">
        <v>518</v>
      </c>
      <c r="C31" s="50" t="s">
        <v>519</v>
      </c>
      <c r="D31" s="50" t="s">
        <v>520</v>
      </c>
      <c r="E31" s="49"/>
      <c r="F31" s="49"/>
      <c r="G31" s="49"/>
      <c r="H31" s="49"/>
      <c r="I31" s="49"/>
      <c r="J31" s="49"/>
      <c r="K31" s="49"/>
      <c r="L31" s="49"/>
      <c r="M31" s="49"/>
      <c r="N31" s="49"/>
      <c r="O31" s="49"/>
      <c r="P31" s="49"/>
      <c r="Q31" s="49"/>
      <c r="R31" s="49"/>
      <c r="S31" s="49"/>
      <c r="T31" s="49"/>
    </row>
    <row r="32" spans="1:20" x14ac:dyDescent="0.25">
      <c r="A32" s="50" t="s">
        <v>521</v>
      </c>
      <c r="B32" s="50" t="s">
        <v>522</v>
      </c>
      <c r="C32" s="50" t="s">
        <v>523</v>
      </c>
      <c r="D32" s="50" t="s">
        <v>524</v>
      </c>
      <c r="E32" s="49"/>
      <c r="F32" s="49"/>
      <c r="G32" s="49"/>
      <c r="H32" s="49"/>
      <c r="I32" s="49"/>
      <c r="J32" s="49"/>
      <c r="K32" s="49"/>
      <c r="L32" s="49"/>
      <c r="M32" s="49"/>
      <c r="N32" s="49"/>
      <c r="O32" s="49"/>
      <c r="P32" s="49"/>
      <c r="Q32" s="49"/>
      <c r="R32" s="49"/>
      <c r="S32" s="49"/>
      <c r="T32" s="49"/>
    </row>
    <row r="33" spans="1:20" ht="30" x14ac:dyDescent="0.25">
      <c r="A33" s="50" t="s">
        <v>525</v>
      </c>
      <c r="B33" s="50" t="s">
        <v>526</v>
      </c>
      <c r="C33" s="50"/>
      <c r="D33" s="50" t="s">
        <v>460</v>
      </c>
      <c r="E33" s="49"/>
      <c r="F33" s="49"/>
      <c r="G33" s="49"/>
      <c r="H33" s="49"/>
      <c r="I33" s="49"/>
      <c r="J33" s="49"/>
      <c r="K33" s="49"/>
      <c r="L33" s="49"/>
      <c r="M33" s="49"/>
      <c r="N33" s="49"/>
      <c r="O33" s="49"/>
      <c r="P33" s="49"/>
      <c r="Q33" s="49"/>
      <c r="R33" s="49"/>
      <c r="S33" s="49"/>
      <c r="T33" s="49"/>
    </row>
    <row r="34" spans="1:20" ht="45" x14ac:dyDescent="0.25">
      <c r="A34" s="50" t="s">
        <v>527</v>
      </c>
      <c r="B34" s="50" t="s">
        <v>528</v>
      </c>
      <c r="C34" s="50" t="s">
        <v>529</v>
      </c>
      <c r="D34" s="50" t="s">
        <v>460</v>
      </c>
      <c r="E34" s="49"/>
      <c r="F34" s="49"/>
      <c r="G34" s="49"/>
      <c r="H34" s="49"/>
      <c r="I34" s="49"/>
      <c r="J34" s="49"/>
      <c r="K34" s="49"/>
      <c r="L34" s="49"/>
      <c r="M34" s="49"/>
      <c r="N34" s="49"/>
      <c r="O34" s="49"/>
      <c r="P34" s="49"/>
      <c r="Q34" s="49"/>
      <c r="R34" s="49"/>
      <c r="S34" s="49"/>
      <c r="T34" s="49"/>
    </row>
    <row r="35" spans="1:20" ht="60" x14ac:dyDescent="0.25">
      <c r="A35" s="50" t="s">
        <v>530</v>
      </c>
      <c r="B35" s="50" t="s">
        <v>531</v>
      </c>
      <c r="C35" s="50" t="s">
        <v>532</v>
      </c>
      <c r="D35" s="50" t="s">
        <v>262</v>
      </c>
      <c r="E35" s="49"/>
      <c r="F35" s="49"/>
      <c r="G35" s="49"/>
      <c r="H35" s="49"/>
      <c r="I35" s="49"/>
      <c r="J35" s="49"/>
      <c r="K35" s="49"/>
      <c r="L35" s="49"/>
      <c r="M35" s="49"/>
      <c r="N35" s="49"/>
      <c r="O35" s="49"/>
      <c r="P35" s="49"/>
      <c r="Q35" s="49"/>
      <c r="R35" s="49"/>
      <c r="S35" s="49"/>
      <c r="T35" s="49"/>
    </row>
    <row r="36" spans="1:20" x14ac:dyDescent="0.25">
      <c r="A36" s="50" t="s">
        <v>533</v>
      </c>
      <c r="B36" s="50" t="s">
        <v>534</v>
      </c>
      <c r="C36" s="50" t="s">
        <v>535</v>
      </c>
      <c r="D36" s="50" t="s">
        <v>262</v>
      </c>
      <c r="E36" s="49"/>
      <c r="F36" s="49"/>
      <c r="G36" s="49"/>
      <c r="H36" s="49"/>
      <c r="I36" s="49"/>
      <c r="J36" s="49"/>
      <c r="K36" s="49"/>
      <c r="L36" s="49"/>
      <c r="M36" s="49"/>
      <c r="N36" s="49"/>
      <c r="O36" s="49"/>
      <c r="P36" s="49"/>
      <c r="Q36" s="49"/>
      <c r="R36" s="49"/>
      <c r="S36" s="49"/>
      <c r="T36" s="49"/>
    </row>
    <row r="37" spans="1:20" ht="60" x14ac:dyDescent="0.25">
      <c r="A37" s="50" t="s">
        <v>536</v>
      </c>
      <c r="B37" s="50" t="s">
        <v>537</v>
      </c>
      <c r="C37" s="50" t="s">
        <v>538</v>
      </c>
      <c r="D37" s="50" t="s">
        <v>262</v>
      </c>
      <c r="E37" s="49"/>
      <c r="F37" s="49"/>
      <c r="G37" s="49"/>
      <c r="H37" s="49"/>
      <c r="I37" s="49"/>
      <c r="J37" s="49"/>
      <c r="K37" s="49"/>
      <c r="L37" s="49"/>
      <c r="M37" s="49"/>
      <c r="N37" s="49"/>
      <c r="O37" s="49"/>
      <c r="P37" s="49"/>
      <c r="Q37" s="49"/>
      <c r="R37" s="49"/>
      <c r="S37" s="49"/>
      <c r="T37" s="49"/>
    </row>
    <row r="38" spans="1:20" ht="30" x14ac:dyDescent="0.25">
      <c r="A38" s="50" t="s">
        <v>539</v>
      </c>
      <c r="B38" s="50" t="s">
        <v>540</v>
      </c>
      <c r="C38" s="50" t="s">
        <v>541</v>
      </c>
      <c r="D38" s="50" t="s">
        <v>262</v>
      </c>
      <c r="E38" s="49"/>
      <c r="F38" s="49"/>
      <c r="G38" s="49"/>
      <c r="H38" s="49"/>
      <c r="I38" s="49"/>
      <c r="J38" s="49"/>
      <c r="K38" s="49"/>
      <c r="L38" s="49"/>
      <c r="M38" s="49"/>
      <c r="N38" s="49"/>
      <c r="O38" s="49"/>
      <c r="P38" s="49"/>
      <c r="Q38" s="49"/>
      <c r="R38" s="49"/>
      <c r="S38" s="49"/>
      <c r="T38" s="49"/>
    </row>
    <row r="39" spans="1:20" ht="12.75" customHeight="1" x14ac:dyDescent="0.25">
      <c r="A39" s="50" t="s">
        <v>542</v>
      </c>
      <c r="B39" s="50" t="s">
        <v>543</v>
      </c>
      <c r="C39" s="50" t="s">
        <v>532</v>
      </c>
      <c r="D39" s="50" t="s">
        <v>262</v>
      </c>
      <c r="E39" s="49"/>
      <c r="F39" s="49"/>
      <c r="G39" s="49"/>
      <c r="H39" s="49"/>
      <c r="I39" s="49"/>
      <c r="J39" s="49"/>
      <c r="K39" s="49"/>
      <c r="L39" s="49"/>
      <c r="M39" s="49"/>
      <c r="N39" s="49"/>
      <c r="O39" s="49"/>
      <c r="P39" s="49"/>
      <c r="Q39" s="49"/>
      <c r="R39" s="49"/>
      <c r="S39" s="49"/>
      <c r="T39" s="49"/>
    </row>
    <row r="40" spans="1:20" ht="15" customHeight="1" x14ac:dyDescent="0.25">
      <c r="A40" s="6" t="s">
        <v>544</v>
      </c>
      <c r="B40" s="48"/>
      <c r="C40" s="48"/>
      <c r="D40" s="48"/>
      <c r="E40" s="49"/>
      <c r="F40" s="49"/>
      <c r="G40" s="49"/>
      <c r="H40" s="49"/>
      <c r="I40" s="49"/>
      <c r="J40" s="49"/>
      <c r="K40" s="49"/>
      <c r="L40" s="49"/>
      <c r="M40" s="49"/>
      <c r="N40" s="49"/>
      <c r="O40" s="49"/>
      <c r="P40" s="49"/>
      <c r="Q40" s="49"/>
      <c r="R40" s="49"/>
      <c r="S40" s="49"/>
      <c r="T40" s="49"/>
    </row>
    <row r="41" spans="1:20" x14ac:dyDescent="0.25">
      <c r="A41" s="50" t="s">
        <v>545</v>
      </c>
      <c r="B41" s="50" t="s">
        <v>546</v>
      </c>
      <c r="C41" s="50" t="s">
        <v>547</v>
      </c>
      <c r="D41" s="50" t="s">
        <v>548</v>
      </c>
      <c r="E41" s="49"/>
      <c r="F41" s="49"/>
      <c r="G41" s="49"/>
      <c r="H41" s="49"/>
      <c r="I41" s="49"/>
      <c r="J41" s="49"/>
      <c r="K41" s="49"/>
      <c r="L41" s="49"/>
      <c r="M41" s="49"/>
      <c r="N41" s="49"/>
      <c r="O41" s="49"/>
      <c r="P41" s="49"/>
      <c r="Q41" s="49"/>
      <c r="R41" s="49"/>
      <c r="S41" s="49"/>
      <c r="T41" s="49"/>
    </row>
    <row r="42" spans="1:20" ht="30" x14ac:dyDescent="0.25">
      <c r="A42" s="50" t="s">
        <v>549</v>
      </c>
      <c r="B42" s="50" t="s">
        <v>550</v>
      </c>
      <c r="C42" s="50" t="s">
        <v>551</v>
      </c>
      <c r="D42" s="50" t="s">
        <v>552</v>
      </c>
      <c r="E42" s="49"/>
      <c r="F42" s="49"/>
      <c r="G42" s="49"/>
      <c r="H42" s="49"/>
      <c r="I42" s="49"/>
      <c r="J42" s="49"/>
      <c r="K42" s="49"/>
      <c r="L42" s="49"/>
      <c r="M42" s="49"/>
      <c r="N42" s="49"/>
      <c r="O42" s="49"/>
      <c r="P42" s="49"/>
      <c r="Q42" s="49"/>
      <c r="R42" s="49"/>
      <c r="S42" s="49"/>
      <c r="T42" s="49"/>
    </row>
    <row r="43" spans="1:20" ht="30" x14ac:dyDescent="0.25">
      <c r="A43" s="50" t="s">
        <v>553</v>
      </c>
      <c r="B43" s="50" t="s">
        <v>554</v>
      </c>
      <c r="C43" s="50" t="s">
        <v>555</v>
      </c>
      <c r="D43" s="50" t="s">
        <v>556</v>
      </c>
      <c r="E43" s="49"/>
      <c r="F43" s="49"/>
      <c r="G43" s="49"/>
      <c r="H43" s="49"/>
      <c r="I43" s="49"/>
      <c r="J43" s="49"/>
      <c r="K43" s="49"/>
      <c r="L43" s="49"/>
      <c r="M43" s="49"/>
      <c r="N43" s="49"/>
      <c r="O43" s="49"/>
      <c r="P43" s="49"/>
      <c r="Q43" s="49"/>
      <c r="R43" s="49"/>
      <c r="S43" s="49"/>
      <c r="T43" s="49"/>
    </row>
    <row r="44" spans="1:20" ht="30" x14ac:dyDescent="0.25">
      <c r="A44" s="50" t="s">
        <v>557</v>
      </c>
      <c r="B44" s="50" t="s">
        <v>558</v>
      </c>
      <c r="C44" s="50" t="s">
        <v>547</v>
      </c>
      <c r="D44" s="50" t="s">
        <v>548</v>
      </c>
      <c r="E44" s="49"/>
      <c r="F44" s="49"/>
      <c r="G44" s="49"/>
      <c r="H44" s="49"/>
      <c r="I44" s="49"/>
      <c r="J44" s="49"/>
      <c r="K44" s="49"/>
      <c r="L44" s="49"/>
      <c r="M44" s="49"/>
      <c r="N44" s="49"/>
      <c r="O44" s="49"/>
      <c r="P44" s="49"/>
      <c r="Q44" s="49"/>
      <c r="R44" s="49"/>
      <c r="S44" s="49"/>
      <c r="T44" s="49"/>
    </row>
    <row r="45" spans="1:20" ht="30" x14ac:dyDescent="0.25">
      <c r="A45" s="50" t="s">
        <v>559</v>
      </c>
      <c r="B45" s="50" t="s">
        <v>559</v>
      </c>
      <c r="C45" s="50" t="s">
        <v>551</v>
      </c>
      <c r="D45" s="50" t="s">
        <v>552</v>
      </c>
      <c r="E45" s="49"/>
      <c r="F45" s="49"/>
      <c r="G45" s="49"/>
      <c r="H45" s="49"/>
      <c r="I45" s="49"/>
      <c r="J45" s="49"/>
      <c r="K45" s="49"/>
      <c r="L45" s="49"/>
      <c r="M45" s="49"/>
      <c r="N45" s="49"/>
      <c r="O45" s="49"/>
      <c r="P45" s="49"/>
      <c r="Q45" s="49"/>
      <c r="R45" s="49"/>
      <c r="S45" s="49"/>
      <c r="T45" s="49"/>
    </row>
    <row r="46" spans="1:20" x14ac:dyDescent="0.25">
      <c r="A46" s="50" t="s">
        <v>560</v>
      </c>
      <c r="B46" s="50" t="s">
        <v>561</v>
      </c>
      <c r="C46" s="50" t="s">
        <v>510</v>
      </c>
      <c r="D46" s="50" t="s">
        <v>262</v>
      </c>
      <c r="E46" s="49"/>
      <c r="F46" s="49"/>
      <c r="G46" s="49"/>
      <c r="H46" s="49"/>
      <c r="I46" s="49"/>
      <c r="J46" s="49"/>
      <c r="K46" s="49"/>
      <c r="L46" s="49"/>
      <c r="M46" s="49"/>
      <c r="N46" s="49"/>
      <c r="O46" s="49"/>
      <c r="P46" s="49"/>
      <c r="Q46" s="49"/>
      <c r="R46" s="49"/>
      <c r="S46" s="49"/>
      <c r="T46" s="49"/>
    </row>
    <row r="47" spans="1:20" x14ac:dyDescent="0.25">
      <c r="A47" s="50" t="s">
        <v>562</v>
      </c>
      <c r="B47" s="50" t="s">
        <v>563</v>
      </c>
      <c r="C47" s="50" t="s">
        <v>564</v>
      </c>
      <c r="D47" s="50" t="s">
        <v>262</v>
      </c>
      <c r="E47" s="49"/>
      <c r="F47" s="49"/>
      <c r="G47" s="49"/>
      <c r="H47" s="49"/>
      <c r="I47" s="49"/>
      <c r="J47" s="49"/>
      <c r="K47" s="49"/>
      <c r="L47" s="49"/>
      <c r="M47" s="49"/>
      <c r="N47" s="49"/>
      <c r="O47" s="49"/>
      <c r="P47" s="49"/>
      <c r="Q47" s="49"/>
      <c r="R47" s="49"/>
      <c r="S47" s="49"/>
      <c r="T47" s="49"/>
    </row>
    <row r="48" spans="1:20" ht="30" x14ac:dyDescent="0.25">
      <c r="A48" s="50" t="s">
        <v>565</v>
      </c>
      <c r="B48" s="50" t="s">
        <v>566</v>
      </c>
      <c r="C48" s="50" t="s">
        <v>567</v>
      </c>
      <c r="D48" s="50" t="s">
        <v>460</v>
      </c>
      <c r="E48" s="49"/>
      <c r="F48" s="49"/>
      <c r="G48" s="49"/>
      <c r="H48" s="49"/>
      <c r="I48" s="49"/>
      <c r="J48" s="49"/>
      <c r="K48" s="49"/>
      <c r="L48" s="49"/>
      <c r="M48" s="49"/>
      <c r="N48" s="49"/>
      <c r="O48" s="49"/>
      <c r="P48" s="49"/>
      <c r="Q48" s="49"/>
      <c r="R48" s="49"/>
      <c r="S48" s="49"/>
      <c r="T48" s="49"/>
    </row>
    <row r="49" spans="1:20" ht="30" x14ac:dyDescent="0.25">
      <c r="A49" s="50" t="s">
        <v>568</v>
      </c>
      <c r="B49" s="50" t="s">
        <v>569</v>
      </c>
      <c r="C49" s="50" t="s">
        <v>547</v>
      </c>
      <c r="D49" s="50" t="s">
        <v>548</v>
      </c>
      <c r="E49" s="49"/>
      <c r="F49" s="49"/>
      <c r="G49" s="49"/>
      <c r="H49" s="49"/>
      <c r="I49" s="49"/>
      <c r="J49" s="49"/>
      <c r="K49" s="49"/>
      <c r="L49" s="49"/>
      <c r="M49" s="49"/>
      <c r="N49" s="49"/>
      <c r="O49" s="49"/>
      <c r="P49" s="49"/>
      <c r="Q49" s="49"/>
      <c r="R49" s="49"/>
      <c r="S49" s="49"/>
      <c r="T49" s="49"/>
    </row>
    <row r="50" spans="1:20" ht="30" x14ac:dyDescent="0.25">
      <c r="A50" s="50" t="s">
        <v>570</v>
      </c>
      <c r="B50" s="50" t="s">
        <v>571</v>
      </c>
      <c r="C50" s="50" t="s">
        <v>572</v>
      </c>
      <c r="D50" s="50" t="s">
        <v>262</v>
      </c>
      <c r="E50" s="49"/>
      <c r="F50" s="49"/>
      <c r="G50" s="49"/>
      <c r="H50" s="49"/>
      <c r="I50" s="49"/>
      <c r="J50" s="49"/>
      <c r="K50" s="49"/>
      <c r="L50" s="49"/>
      <c r="M50" s="49"/>
      <c r="N50" s="49"/>
      <c r="O50" s="49"/>
      <c r="P50" s="49"/>
      <c r="Q50" s="49"/>
      <c r="R50" s="49"/>
      <c r="S50" s="49"/>
      <c r="T50" s="49"/>
    </row>
    <row r="51" spans="1:20" ht="12.75" customHeight="1" x14ac:dyDescent="0.25"/>
    <row r="52" spans="1:20" ht="12.75" customHeight="1" x14ac:dyDescent="0.25"/>
    <row r="53" spans="1:20" ht="12.75" customHeight="1" x14ac:dyDescent="0.25"/>
    <row r="54" spans="1:20" ht="12.75" customHeight="1" x14ac:dyDescent="0.25"/>
    <row r="55" spans="1:20" ht="12.75" customHeight="1" x14ac:dyDescent="0.25"/>
    <row r="56" spans="1:20" ht="12.75" customHeight="1" x14ac:dyDescent="0.25"/>
    <row r="57" spans="1:20" ht="12.75" customHeight="1" x14ac:dyDescent="0.25"/>
    <row r="58" spans="1:20" ht="12.75" customHeight="1" x14ac:dyDescent="0.25"/>
    <row r="59" spans="1:20" ht="12.75" customHeight="1" x14ac:dyDescent="0.25"/>
    <row r="60" spans="1:20" ht="12.75" customHeight="1" x14ac:dyDescent="0.25"/>
    <row r="61" spans="1:20" ht="12.75" customHeight="1" x14ac:dyDescent="0.25"/>
    <row r="62" spans="1:20" ht="12.75" customHeight="1" x14ac:dyDescent="0.25"/>
    <row r="63" spans="1:20" ht="12.75" customHeight="1" x14ac:dyDescent="0.25"/>
    <row r="64" spans="1:2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row r="1001" ht="12.75" customHeight="1" x14ac:dyDescent="0.25"/>
  </sheetData>
  <pageMargins left="0.7" right="0.7" top="0.75" bottom="0.75" header="0.511811023622047" footer="0.511811023622047"/>
  <pageSetup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sheetPr>
  <dimension ref="A1:T1001"/>
  <sheetViews>
    <sheetView zoomScaleNormal="100" workbookViewId="0">
      <selection activeCell="A6" sqref="A6"/>
    </sheetView>
  </sheetViews>
  <sheetFormatPr defaultColWidth="14.5703125" defaultRowHeight="15" x14ac:dyDescent="0.25"/>
  <cols>
    <col min="1" max="1" width="42.42578125" customWidth="1"/>
    <col min="2" max="2" width="68.5703125" customWidth="1"/>
    <col min="3" max="3" width="46.85546875" customWidth="1"/>
    <col min="4" max="4" width="43" customWidth="1"/>
  </cols>
  <sheetData>
    <row r="1" spans="1:20" ht="26.25" x14ac:dyDescent="0.4">
      <c r="A1" s="2" t="s">
        <v>573</v>
      </c>
      <c r="B1" s="3"/>
      <c r="C1" s="3"/>
      <c r="D1" s="3"/>
      <c r="E1" s="3"/>
      <c r="F1" s="3"/>
      <c r="G1" s="3"/>
      <c r="H1" s="3"/>
      <c r="I1" s="3"/>
      <c r="J1" s="3"/>
      <c r="K1" s="3"/>
      <c r="L1" s="3"/>
      <c r="M1" s="4"/>
      <c r="N1" s="4"/>
      <c r="O1" s="4"/>
      <c r="P1" s="4"/>
      <c r="Q1" s="4"/>
      <c r="R1" s="4"/>
      <c r="S1" s="4"/>
      <c r="T1" s="4"/>
    </row>
    <row r="2" spans="1:20" ht="15.75" x14ac:dyDescent="0.25">
      <c r="A2" s="6" t="s">
        <v>443</v>
      </c>
      <c r="B2" s="7"/>
      <c r="C2" s="7"/>
      <c r="D2" s="7"/>
      <c r="E2" s="7"/>
      <c r="F2" s="7"/>
      <c r="G2" s="7"/>
      <c r="H2" s="7"/>
      <c r="I2" s="7"/>
      <c r="J2" s="7"/>
      <c r="K2" s="7"/>
      <c r="L2" s="7"/>
      <c r="M2" s="8"/>
      <c r="N2" s="8"/>
      <c r="O2" s="8"/>
      <c r="P2" s="8"/>
      <c r="Q2" s="8"/>
      <c r="R2" s="8"/>
      <c r="S2" s="8"/>
      <c r="T2" s="8"/>
    </row>
    <row r="3" spans="1:20" ht="15.75" x14ac:dyDescent="0.25">
      <c r="A3" s="6"/>
      <c r="B3" s="7"/>
      <c r="C3" s="7"/>
      <c r="D3" s="7"/>
      <c r="E3" s="7"/>
      <c r="F3" s="7"/>
      <c r="G3" s="7"/>
      <c r="H3" s="7"/>
      <c r="I3" s="7"/>
      <c r="J3" s="7"/>
      <c r="K3" s="7"/>
      <c r="L3" s="7"/>
      <c r="M3" s="8"/>
      <c r="N3" s="8"/>
      <c r="O3" s="8"/>
      <c r="P3" s="8"/>
      <c r="Q3" s="8"/>
      <c r="R3" s="8"/>
      <c r="S3" s="8"/>
      <c r="T3" s="8"/>
    </row>
    <row r="4" spans="1:20" ht="28.5" customHeight="1" x14ac:dyDescent="0.25">
      <c r="A4" s="47" t="s">
        <v>574</v>
      </c>
      <c r="B4" s="47" t="s">
        <v>23</v>
      </c>
      <c r="C4" s="47" t="s">
        <v>575</v>
      </c>
      <c r="D4" s="47" t="s">
        <v>38</v>
      </c>
    </row>
    <row r="5" spans="1:20" ht="30" x14ac:dyDescent="0.25">
      <c r="A5" s="50" t="s">
        <v>576</v>
      </c>
      <c r="B5" s="50" t="s">
        <v>577</v>
      </c>
      <c r="C5" s="50" t="s">
        <v>578</v>
      </c>
      <c r="D5" s="50" t="s">
        <v>579</v>
      </c>
    </row>
    <row r="6" spans="1:20" ht="45" x14ac:dyDescent="0.25">
      <c r="A6" s="50" t="s">
        <v>580</v>
      </c>
      <c r="B6" s="50" t="s">
        <v>581</v>
      </c>
      <c r="C6" s="50" t="s">
        <v>582</v>
      </c>
      <c r="D6" s="50" t="s">
        <v>583</v>
      </c>
    </row>
    <row r="7" spans="1:20" ht="30" x14ac:dyDescent="0.25">
      <c r="A7" s="50" t="s">
        <v>584</v>
      </c>
      <c r="B7" s="50" t="s">
        <v>585</v>
      </c>
      <c r="C7" s="50" t="s">
        <v>586</v>
      </c>
      <c r="D7" s="50" t="s">
        <v>583</v>
      </c>
    </row>
    <row r="8" spans="1:20" ht="30" x14ac:dyDescent="0.25">
      <c r="A8" s="50" t="s">
        <v>587</v>
      </c>
      <c r="B8" s="50" t="s">
        <v>588</v>
      </c>
      <c r="C8" s="50" t="s">
        <v>589</v>
      </c>
      <c r="D8" s="50" t="s">
        <v>583</v>
      </c>
    </row>
    <row r="9" spans="1:20" ht="30" x14ac:dyDescent="0.25">
      <c r="A9" s="50" t="s">
        <v>590</v>
      </c>
      <c r="B9" s="50" t="s">
        <v>591</v>
      </c>
      <c r="C9" s="50" t="s">
        <v>592</v>
      </c>
      <c r="D9" s="50" t="s">
        <v>593</v>
      </c>
    </row>
    <row r="10" spans="1:20" ht="30" x14ac:dyDescent="0.25">
      <c r="A10" s="50" t="s">
        <v>594</v>
      </c>
      <c r="B10" s="50" t="s">
        <v>595</v>
      </c>
      <c r="C10" s="50" t="s">
        <v>596</v>
      </c>
      <c r="D10" s="50" t="s">
        <v>597</v>
      </c>
    </row>
    <row r="11" spans="1:20" ht="45" x14ac:dyDescent="0.25">
      <c r="A11" s="50" t="s">
        <v>598</v>
      </c>
      <c r="B11" s="50" t="s">
        <v>599</v>
      </c>
      <c r="C11" s="50" t="s">
        <v>600</v>
      </c>
      <c r="D11" s="50" t="s">
        <v>601</v>
      </c>
    </row>
    <row r="12" spans="1:20" ht="30" x14ac:dyDescent="0.25">
      <c r="A12" s="50" t="s">
        <v>602</v>
      </c>
      <c r="B12" s="50" t="s">
        <v>603</v>
      </c>
      <c r="C12" s="50" t="s">
        <v>604</v>
      </c>
      <c r="D12" s="50" t="s">
        <v>605</v>
      </c>
    </row>
    <row r="13" spans="1:20" ht="30" x14ac:dyDescent="0.25">
      <c r="A13" s="50" t="s">
        <v>606</v>
      </c>
      <c r="B13" s="50" t="s">
        <v>607</v>
      </c>
      <c r="C13" s="50" t="s">
        <v>608</v>
      </c>
      <c r="D13" s="50" t="s">
        <v>609</v>
      </c>
    </row>
    <row r="14" spans="1:20" ht="30" x14ac:dyDescent="0.25">
      <c r="A14" s="50" t="s">
        <v>610</v>
      </c>
      <c r="B14" s="50" t="s">
        <v>611</v>
      </c>
      <c r="C14" s="50" t="s">
        <v>612</v>
      </c>
      <c r="D14" s="50" t="s">
        <v>613</v>
      </c>
    </row>
    <row r="15" spans="1:20" ht="30" x14ac:dyDescent="0.25">
      <c r="A15" s="50" t="s">
        <v>614</v>
      </c>
      <c r="B15" s="50" t="s">
        <v>615</v>
      </c>
      <c r="C15" s="50" t="s">
        <v>616</v>
      </c>
      <c r="D15" s="50" t="s">
        <v>617</v>
      </c>
    </row>
    <row r="16" spans="1:20" ht="45" x14ac:dyDescent="0.25">
      <c r="A16" s="50" t="s">
        <v>618</v>
      </c>
      <c r="B16" s="50" t="s">
        <v>619</v>
      </c>
      <c r="C16" s="50" t="s">
        <v>620</v>
      </c>
      <c r="D16" s="50" t="s">
        <v>621</v>
      </c>
    </row>
    <row r="17" spans="1:4" ht="45" x14ac:dyDescent="0.25">
      <c r="A17" s="50" t="s">
        <v>622</v>
      </c>
      <c r="B17" s="50" t="s">
        <v>623</v>
      </c>
      <c r="C17" s="50" t="s">
        <v>624</v>
      </c>
      <c r="D17" s="50" t="s">
        <v>625</v>
      </c>
    </row>
    <row r="18" spans="1:4" ht="30" x14ac:dyDescent="0.25">
      <c r="A18" s="50" t="s">
        <v>626</v>
      </c>
      <c r="B18" s="50" t="s">
        <v>627</v>
      </c>
      <c r="C18" s="50" t="s">
        <v>628</v>
      </c>
      <c r="D18" s="50" t="s">
        <v>629</v>
      </c>
    </row>
    <row r="19" spans="1:4" ht="45" x14ac:dyDescent="0.25">
      <c r="A19" s="50" t="s">
        <v>630</v>
      </c>
      <c r="B19" s="50" t="s">
        <v>631</v>
      </c>
      <c r="C19" s="50" t="s">
        <v>632</v>
      </c>
      <c r="D19" s="50" t="s">
        <v>633</v>
      </c>
    </row>
    <row r="20" spans="1:4" ht="30" x14ac:dyDescent="0.25">
      <c r="A20" s="50" t="s">
        <v>634</v>
      </c>
      <c r="B20" s="50" t="s">
        <v>635</v>
      </c>
      <c r="C20" s="50" t="s">
        <v>636</v>
      </c>
      <c r="D20" s="50" t="s">
        <v>637</v>
      </c>
    </row>
    <row r="21" spans="1:4" ht="90" x14ac:dyDescent="0.25">
      <c r="A21" s="50" t="s">
        <v>638</v>
      </c>
      <c r="B21" s="50" t="s">
        <v>639</v>
      </c>
      <c r="C21" s="50" t="s">
        <v>640</v>
      </c>
      <c r="D21" s="50" t="s">
        <v>641</v>
      </c>
    </row>
    <row r="22" spans="1:4" x14ac:dyDescent="0.25">
      <c r="A22" s="50" t="s">
        <v>642</v>
      </c>
      <c r="B22" s="50" t="s">
        <v>643</v>
      </c>
      <c r="C22" s="50" t="s">
        <v>644</v>
      </c>
      <c r="D22" s="50" t="s">
        <v>645</v>
      </c>
    </row>
    <row r="23" spans="1:4" ht="60" x14ac:dyDescent="0.25">
      <c r="A23" s="50" t="s">
        <v>646</v>
      </c>
      <c r="B23" s="50" t="s">
        <v>647</v>
      </c>
      <c r="C23" s="50" t="s">
        <v>648</v>
      </c>
      <c r="D23" s="50" t="s">
        <v>649</v>
      </c>
    </row>
    <row r="24" spans="1:4" x14ac:dyDescent="0.25">
      <c r="A24" s="50" t="s">
        <v>650</v>
      </c>
      <c r="B24" s="50" t="s">
        <v>651</v>
      </c>
      <c r="C24" s="50" t="s">
        <v>652</v>
      </c>
      <c r="D24" s="50" t="s">
        <v>653</v>
      </c>
    </row>
    <row r="25" spans="1:4" ht="30" x14ac:dyDescent="0.25">
      <c r="A25" s="50" t="s">
        <v>654</v>
      </c>
      <c r="B25" s="50" t="s">
        <v>655</v>
      </c>
      <c r="C25" s="50" t="s">
        <v>656</v>
      </c>
      <c r="D25" s="50" t="s">
        <v>657</v>
      </c>
    </row>
    <row r="26" spans="1:4" ht="45" x14ac:dyDescent="0.25">
      <c r="A26" s="50" t="s">
        <v>658</v>
      </c>
      <c r="B26" s="50" t="s">
        <v>659</v>
      </c>
      <c r="C26" s="50" t="s">
        <v>660</v>
      </c>
      <c r="D26" s="50" t="s">
        <v>661</v>
      </c>
    </row>
    <row r="27" spans="1:4" ht="30" x14ac:dyDescent="0.25">
      <c r="A27" s="50" t="s">
        <v>662</v>
      </c>
      <c r="B27" s="50" t="s">
        <v>663</v>
      </c>
      <c r="C27" s="50" t="s">
        <v>664</v>
      </c>
      <c r="D27" s="50" t="s">
        <v>665</v>
      </c>
    </row>
    <row r="28" spans="1:4" ht="30" x14ac:dyDescent="0.25">
      <c r="A28" s="50" t="s">
        <v>666</v>
      </c>
      <c r="B28" s="50" t="s">
        <v>667</v>
      </c>
      <c r="C28" s="50" t="s">
        <v>668</v>
      </c>
      <c r="D28" s="50" t="s">
        <v>669</v>
      </c>
    </row>
    <row r="29" spans="1:4" x14ac:dyDescent="0.25">
      <c r="A29" s="50" t="s">
        <v>670</v>
      </c>
      <c r="B29" s="50"/>
      <c r="C29" s="50"/>
      <c r="D29" s="50" t="s">
        <v>460</v>
      </c>
    </row>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537</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Investigation</vt:lpstr>
      <vt:lpstr>Study</vt:lpstr>
      <vt:lpstr>Person</vt:lpstr>
      <vt:lpstr>Data file</vt:lpstr>
      <vt:lpstr>Biological Material</vt:lpstr>
      <vt:lpstr>Environment</vt:lpstr>
      <vt:lpstr>Experimental Factor</vt:lpstr>
      <vt:lpstr>Experimental Factor Level</vt:lpstr>
      <vt:lpstr>Event</vt:lpstr>
      <vt:lpstr>Observation Unit</vt:lpstr>
      <vt:lpstr>Sample</vt:lpstr>
      <vt:lpstr>Observed Variable</vt:lpstr>
      <vt:lpstr>Environment Parameters</vt:lpstr>
      <vt:lpstr>Appendix1 Environment</vt:lpstr>
      <vt:lpstr>Appendix2 Experimental Factor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Richard Ostler</cp:lastModifiedBy>
  <cp:revision>53</cp:revision>
  <dcterms:created xsi:type="dcterms:W3CDTF">2019-01-22T09:50:31Z</dcterms:created>
  <dcterms:modified xsi:type="dcterms:W3CDTF">2026-09-25T10:00:15Z</dcterms:modified>
  <dc:language>en-GB</dc:language>
</cp:coreProperties>
</file>